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me\Downloads\"/>
    </mc:Choice>
  </mc:AlternateContent>
  <xr:revisionPtr revIDLastSave="0" documentId="13_ncr:1_{B125A62B-C14E-4813-A786-0326106729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 1" sheetId="1" r:id="rId1"/>
    <sheet name="Table 1 (3)" sheetId="3" r:id="rId2"/>
    <sheet name="Table 1 (2)" sheetId="2" r:id="rId3"/>
  </sheets>
  <definedNames>
    <definedName name="_xlnm.Print_Area" localSheetId="2">'Table 1 (2)'!$A$1:$D$22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3" l="1"/>
  <c r="D9" i="2"/>
  <c r="E8" i="3"/>
  <c r="B23" i="3" s="1"/>
  <c r="D18" i="2"/>
  <c r="D17" i="2"/>
  <c r="D8" i="2" a="1"/>
  <c r="D8" i="2" s="1"/>
  <c r="E9" i="3" s="1"/>
  <c r="D7" i="2" a="1"/>
  <c r="D7" i="2" s="1"/>
  <c r="D6" i="2" a="1"/>
  <c r="E6" i="2" s="1"/>
  <c r="D10" i="2" a="1"/>
  <c r="E10" i="2" s="1"/>
  <c r="D12" i="2" a="1"/>
  <c r="G12" i="2" s="1"/>
  <c r="E7" i="2" l="1"/>
  <c r="E8" i="2"/>
  <c r="F10" i="2"/>
  <c r="G10" i="2"/>
  <c r="E12" i="2"/>
  <c r="F12" i="2"/>
  <c r="D12" i="2"/>
  <c r="D10" i="2"/>
  <c r="E10" i="3" s="1"/>
  <c r="D6" i="2"/>
</calcChain>
</file>

<file path=xl/sharedStrings.xml><?xml version="1.0" encoding="utf-8"?>
<sst xmlns="http://schemas.openxmlformats.org/spreadsheetml/2006/main" count="156" uniqueCount="146">
  <si>
    <r>
      <rPr>
        <sz val="9"/>
        <rFont val="Arial MT"/>
        <family val="2"/>
      </rPr>
      <t>Original</t>
    </r>
  </si>
  <si>
    <r>
      <rPr>
        <sz val="9"/>
        <rFont val="Arial MT"/>
        <family val="2"/>
      </rPr>
      <t>for Buyer</t>
    </r>
  </si>
  <si>
    <r>
      <rPr>
        <sz val="9"/>
        <rFont val="Arial MT"/>
        <family val="2"/>
      </rPr>
      <t>Duplicate</t>
    </r>
  </si>
  <si>
    <r>
      <rPr>
        <sz val="9"/>
        <rFont val="Arial MT"/>
        <family val="2"/>
      </rPr>
      <t>for Transporter</t>
    </r>
  </si>
  <si>
    <r>
      <rPr>
        <sz val="9"/>
        <rFont val="Arial MT"/>
        <family val="2"/>
      </rPr>
      <t>Triplicate</t>
    </r>
  </si>
  <si>
    <r>
      <rPr>
        <sz val="9"/>
        <rFont val="Arial MT"/>
        <family val="2"/>
      </rPr>
      <t>for Office Filing</t>
    </r>
  </si>
  <si>
    <r>
      <rPr>
        <sz val="9"/>
        <rFont val="Arial MT"/>
        <family val="2"/>
      </rPr>
      <t>for Extra</t>
    </r>
  </si>
  <si>
    <r>
      <rPr>
        <u/>
        <sz val="8"/>
        <rFont val="Arial MT"/>
        <family val="2"/>
      </rPr>
      <t>Goods Shipped to :</t>
    </r>
  </si>
  <si>
    <r>
      <rPr>
        <b/>
        <sz val="8"/>
        <rFont val="Arial"/>
        <family val="2"/>
      </rPr>
      <t>Challan No.</t>
    </r>
  </si>
  <si>
    <r>
      <rPr>
        <b/>
        <sz val="8"/>
        <rFont val="Arial"/>
        <family val="2"/>
      </rPr>
      <t>Date :</t>
    </r>
  </si>
  <si>
    <r>
      <rPr>
        <sz val="8"/>
        <rFont val="Arial MT"/>
        <family val="2"/>
      </rPr>
      <t>State</t>
    </r>
  </si>
  <si>
    <r>
      <rPr>
        <sz val="8"/>
        <rFont val="Arial MT"/>
        <family val="2"/>
      </rPr>
      <t>Code</t>
    </r>
  </si>
  <si>
    <r>
      <rPr>
        <sz val="8"/>
        <rFont val="Arial MT"/>
        <family val="2"/>
      </rPr>
      <t>1043 Mouda Super Thermal Power Project</t>
    </r>
  </si>
  <si>
    <r>
      <rPr>
        <sz val="8"/>
        <rFont val="Arial MT"/>
        <family val="2"/>
      </rPr>
      <t>Mode of Despatch :</t>
    </r>
  </si>
  <si>
    <r>
      <rPr>
        <sz val="8"/>
        <rFont val="Arial MT"/>
        <family val="2"/>
      </rPr>
      <t>By Road</t>
    </r>
  </si>
  <si>
    <r>
      <rPr>
        <sz val="8"/>
        <rFont val="Arial MT"/>
        <family val="2"/>
      </rPr>
      <t>Mouda Ramtek Road, Mouda,</t>
    </r>
  </si>
  <si>
    <r>
      <rPr>
        <sz val="8"/>
        <rFont val="Arial MT"/>
        <family val="2"/>
      </rPr>
      <t>Distt. Nagpur, Maharashtra</t>
    </r>
  </si>
  <si>
    <r>
      <rPr>
        <sz val="8"/>
        <rFont val="Arial MT"/>
        <family val="2"/>
      </rPr>
      <t>Transporter's Name :</t>
    </r>
  </si>
  <si>
    <r>
      <rPr>
        <sz val="8"/>
        <rFont val="Arial MT"/>
        <family val="2"/>
      </rPr>
      <t>GSTIN No. :</t>
    </r>
  </si>
  <si>
    <r>
      <rPr>
        <b/>
        <sz val="8"/>
        <rFont val="Arial"/>
        <family val="2"/>
      </rPr>
      <t>27AAACN0255D1ZY</t>
    </r>
  </si>
  <si>
    <r>
      <rPr>
        <sz val="8"/>
        <rFont val="Arial MT"/>
        <family val="2"/>
      </rPr>
      <t>Lorry No. :</t>
    </r>
  </si>
  <si>
    <r>
      <rPr>
        <sz val="8"/>
        <rFont val="Arial MT"/>
        <family val="2"/>
      </rPr>
      <t>STATE :</t>
    </r>
  </si>
  <si>
    <r>
      <rPr>
        <sz val="8"/>
        <rFont val="Arial MT"/>
        <family val="2"/>
      </rPr>
      <t>MH         Code : 27</t>
    </r>
  </si>
  <si>
    <r>
      <rPr>
        <sz val="8"/>
        <rFont val="Arial MT"/>
        <family val="2"/>
      </rPr>
      <t>L.R/R.R. No. :</t>
    </r>
  </si>
  <si>
    <r>
      <rPr>
        <sz val="8"/>
        <rFont val="Arial MT"/>
        <family val="2"/>
      </rPr>
      <t>Village:</t>
    </r>
  </si>
  <si>
    <r>
      <rPr>
        <b/>
        <sz val="8"/>
        <rFont val="Arial"/>
        <family val="2"/>
      </rPr>
      <t>Billing Address:</t>
    </r>
  </si>
  <si>
    <r>
      <rPr>
        <sz val="8"/>
        <rFont val="Arial MT"/>
        <family val="2"/>
      </rPr>
      <t>MSME No. :</t>
    </r>
  </si>
  <si>
    <r>
      <rPr>
        <sz val="8"/>
        <rFont val="Arial MT"/>
        <family val="2"/>
      </rPr>
      <t>P.O. No. :</t>
    </r>
  </si>
  <si>
    <r>
      <rPr>
        <sz val="8"/>
        <rFont val="Arial MT"/>
        <family val="2"/>
      </rPr>
      <t>Reverse Charge</t>
    </r>
  </si>
  <si>
    <r>
      <rPr>
        <sz val="8"/>
        <rFont val="Arial MT"/>
        <family val="2"/>
      </rPr>
      <t>Yes / No</t>
    </r>
  </si>
  <si>
    <r>
      <rPr>
        <sz val="8"/>
        <rFont val="Arial MT"/>
        <family val="2"/>
      </rPr>
      <t>Vendor code:</t>
    </r>
  </si>
  <si>
    <r>
      <rPr>
        <sz val="8"/>
        <rFont val="Arial MT"/>
        <family val="2"/>
      </rPr>
      <t>Eway bill No.</t>
    </r>
  </si>
  <si>
    <r>
      <rPr>
        <b/>
        <sz val="8"/>
        <rFont val="Arial"/>
        <family val="2"/>
      </rPr>
      <t>Party Mobile No.</t>
    </r>
  </si>
  <si>
    <r>
      <rPr>
        <b/>
        <sz val="8"/>
        <rFont val="Arial"/>
        <family val="2"/>
      </rPr>
      <t>Sr. No.</t>
    </r>
  </si>
  <si>
    <r>
      <rPr>
        <b/>
        <sz val="8"/>
        <rFont val="Arial"/>
        <family val="2"/>
      </rPr>
      <t>Description of Goods</t>
    </r>
  </si>
  <si>
    <r>
      <rPr>
        <b/>
        <sz val="8"/>
        <rFont val="Arial"/>
        <family val="2"/>
      </rPr>
      <t>HSN / SAC</t>
    </r>
  </si>
  <si>
    <r>
      <rPr>
        <b/>
        <sz val="8"/>
        <rFont val="Arial"/>
        <family val="2"/>
      </rPr>
      <t>Unit</t>
    </r>
  </si>
  <si>
    <r>
      <rPr>
        <b/>
        <sz val="8"/>
        <rFont val="Arial"/>
        <family val="2"/>
      </rPr>
      <t>Rate `</t>
    </r>
  </si>
  <si>
    <r>
      <rPr>
        <b/>
        <sz val="8"/>
        <rFont val="Arial"/>
        <family val="2"/>
      </rPr>
      <t>Amount `</t>
    </r>
  </si>
  <si>
    <r>
      <rPr>
        <sz val="9"/>
        <rFont val="Arial MT"/>
        <family val="2"/>
      </rPr>
      <t>MTS</t>
    </r>
  </si>
  <si>
    <r>
      <rPr>
        <sz val="9"/>
        <rFont val="Arial MT"/>
        <family val="2"/>
      </rPr>
      <t>Bank Details :</t>
    </r>
  </si>
  <si>
    <r>
      <rPr>
        <sz val="9"/>
        <rFont val="Arial MT"/>
        <family val="2"/>
      </rPr>
      <t>Forwarding Charges upto Transport</t>
    </r>
  </si>
  <si>
    <r>
      <rPr>
        <sz val="9"/>
        <rFont val="Arial MT"/>
        <family val="2"/>
      </rPr>
      <t>Packing &amp; Forwarding Charges</t>
    </r>
  </si>
  <si>
    <r>
      <rPr>
        <sz val="9"/>
        <rFont val="Arial MT"/>
        <family val="2"/>
      </rPr>
      <t>Freight &amp; Forwarding Charges</t>
    </r>
  </si>
  <si>
    <r>
      <rPr>
        <sz val="9"/>
        <rFont val="Arial MT"/>
        <family val="2"/>
      </rPr>
      <t>Insurance Charges</t>
    </r>
  </si>
  <si>
    <r>
      <rPr>
        <sz val="9"/>
        <rFont val="Arial MT"/>
        <family val="2"/>
      </rPr>
      <t>Courier Charges</t>
    </r>
  </si>
  <si>
    <r>
      <rPr>
        <sz val="9"/>
        <rFont val="Arial MT"/>
        <family val="2"/>
      </rPr>
      <t>Total Amount before Tax</t>
    </r>
  </si>
  <si>
    <r>
      <rPr>
        <sz val="10"/>
        <rFont val="Arial MT"/>
        <family val="2"/>
      </rPr>
      <t>Add CGST</t>
    </r>
  </si>
  <si>
    <r>
      <rPr>
        <sz val="10"/>
        <rFont val="Arial MT"/>
        <family val="2"/>
      </rPr>
      <t>Add SGST</t>
    </r>
  </si>
  <si>
    <r>
      <rPr>
        <sz val="10"/>
        <rFont val="Arial MT"/>
        <family val="2"/>
      </rPr>
      <t>Add   IGST</t>
    </r>
  </si>
  <si>
    <r>
      <rPr>
        <b/>
        <sz val="9"/>
        <rFont val="Arial"/>
        <family val="2"/>
      </rPr>
      <t>Total Amount after Tax</t>
    </r>
  </si>
  <si>
    <r>
      <rPr>
        <b/>
        <sz val="10"/>
        <rFont val="Arial"/>
        <family val="2"/>
      </rPr>
      <t>` 0.00</t>
    </r>
  </si>
  <si>
    <r>
      <rPr>
        <sz val="7"/>
        <rFont val="Arial MT"/>
        <family val="2"/>
      </rPr>
      <t xml:space="preserve">Certified that the particulars given  above are  true and
</t>
    </r>
    <r>
      <rPr>
        <sz val="7"/>
        <rFont val="Arial MT"/>
        <family val="2"/>
      </rPr>
      <t>correct  and  the  amount  represents  the  price  actully charged     from     the     buyer.             .                        .</t>
    </r>
  </si>
  <si>
    <r>
      <rPr>
        <b/>
        <u/>
        <sz val="9"/>
        <rFont val="Arial"/>
        <family val="2"/>
      </rPr>
      <t>Terms &amp; Conditions:</t>
    </r>
  </si>
  <si>
    <r>
      <rPr>
        <sz val="6"/>
        <rFont val="Arial MT"/>
        <family val="2"/>
      </rPr>
      <t xml:space="preserve">1) 24 % interest  will be charged on invoice not paid within 30 days from the  date of invoice
</t>
    </r>
    <r>
      <rPr>
        <sz val="6"/>
        <rFont val="Arial MT"/>
        <family val="2"/>
      </rPr>
      <t xml:space="preserve">2) Goods once sold will not be taken back or exchanged.
</t>
    </r>
    <r>
      <rPr>
        <sz val="6"/>
        <rFont val="Arial MT"/>
        <family val="2"/>
      </rPr>
      <t>3) Our responsibility ceases soon after the goods leave from our premises</t>
    </r>
  </si>
  <si>
    <r>
      <rPr>
        <b/>
        <sz val="10"/>
        <rFont val="Arial"/>
        <family val="2"/>
      </rPr>
      <t>Authorised Signatory</t>
    </r>
  </si>
  <si>
    <t>BIOME INDUSTRIA PRIVATE LIMITED</t>
  </si>
  <si>
    <t>Next To Shree Shayam Metal Factory,  Rewari Road, Khaleta Rewari, Haryana, 123103</t>
  </si>
  <si>
    <t>GSTIN : 06AAJCB1927H1ZS</t>
  </si>
  <si>
    <t>UDYAM-DL-11-0006668</t>
  </si>
  <si>
    <t>Beneficiary : BIOME INDUSTRIA PRIVATE LIMITED</t>
  </si>
  <si>
    <t>Bank : HDFC Bank</t>
  </si>
  <si>
    <t>Current A/C No. : 50200070071190</t>
  </si>
  <si>
    <t>Branch : REWARI, HARYANA</t>
  </si>
  <si>
    <t>IFSC Code : HDFC0000250</t>
  </si>
  <si>
    <t>For BIOME INDUSTRIA PRIVATE LIMITED</t>
  </si>
  <si>
    <t>Haryana</t>
  </si>
  <si>
    <t>Subject To Haryana Jurisdiction</t>
  </si>
  <si>
    <t>NEXT TO SHREE SHAYAM METAL FACTORY, REWARI ROAD, KHALETA, Rewari, Haryana, 123103</t>
  </si>
  <si>
    <t>MOBILE NO. 8130232692, 8826918908  EMAIL- biomeindustria@gmail.com</t>
  </si>
  <si>
    <t>DELIVERY CHALLAN</t>
  </si>
  <si>
    <t>GST no. 06AAJCB1927H1ZS</t>
  </si>
  <si>
    <r>
      <rPr>
        <sz val="9"/>
        <rFont val="Calibri"/>
        <family val="1"/>
      </rPr>
      <t>VEHICLE NO.    :</t>
    </r>
  </si>
  <si>
    <r>
      <rPr>
        <sz val="9"/>
        <rFont val="Calibri"/>
        <family val="1"/>
      </rPr>
      <t>DRIVER MOB NO.  :</t>
    </r>
  </si>
  <si>
    <r>
      <rPr>
        <sz val="9"/>
        <rFont val="Calibri"/>
        <family val="1"/>
      </rPr>
      <t>TRANSPORT NAME :</t>
    </r>
  </si>
  <si>
    <t xml:space="preserve">LOA  : CS-0011-113A-9-S38-LOA-7536 </t>
  </si>
  <si>
    <r>
      <rPr>
        <sz val="9"/>
        <rFont val="Calibri"/>
        <family val="1"/>
      </rPr>
      <t>DRIVER LIC. NO.   :</t>
    </r>
  </si>
  <si>
    <r>
      <rPr>
        <sz val="9"/>
        <rFont val="Calibri"/>
        <family val="1"/>
      </rPr>
      <t>TERMS OF DELIVERY FOR :</t>
    </r>
  </si>
  <si>
    <r>
      <rPr>
        <sz val="9"/>
        <rFont val="Calibri"/>
        <family val="1"/>
      </rPr>
      <t>MOUDA NAGPUR</t>
    </r>
  </si>
  <si>
    <r>
      <rPr>
        <sz val="9"/>
        <rFont val="Calibri"/>
        <family val="1"/>
      </rPr>
      <t>DESTINATION  : MOUDA, NAGPUR</t>
    </r>
  </si>
  <si>
    <r>
      <rPr>
        <b/>
        <sz val="9"/>
        <rFont val="Arial"/>
        <family val="2"/>
      </rPr>
      <t>SR NO.</t>
    </r>
  </si>
  <si>
    <r>
      <rPr>
        <b/>
        <sz val="9"/>
        <rFont val="Arial"/>
        <family val="2"/>
      </rPr>
      <t>DESCRIPTION OF GOOD</t>
    </r>
  </si>
  <si>
    <r>
      <rPr>
        <b/>
        <sz val="9"/>
        <rFont val="Arial"/>
        <family val="2"/>
      </rPr>
      <t>QUANTITY</t>
    </r>
  </si>
  <si>
    <r>
      <rPr>
        <sz val="9"/>
        <rFont val="Calibri"/>
        <family val="1"/>
      </rPr>
      <t>AGRO RESIDUE BIOMASS PELLETS                       (HSN - 4401)</t>
    </r>
  </si>
  <si>
    <r>
      <rPr>
        <sz val="9"/>
        <rFont val="Calibri"/>
        <family val="1"/>
      </rPr>
      <t>TOTAL QUANTITY</t>
    </r>
  </si>
  <si>
    <t>FOR BIOME INDUSTRIA PRIVATE LIMITED</t>
  </si>
  <si>
    <t>MOBILE NO. 8130232692 / 8826918908  EMAIL- biomeindustria@gmail.com</t>
  </si>
  <si>
    <t>00001225467</t>
  </si>
  <si>
    <t>LOA DATE : 07-10-2024</t>
  </si>
  <si>
    <r>
      <rPr>
        <b/>
        <sz val="20"/>
        <rFont val="Arial"/>
        <family val="2"/>
      </rPr>
      <t xml:space="preserve">BIOME INDUSTRIA PRIVATE LIMITED
</t>
    </r>
    <r>
      <rPr>
        <sz val="10"/>
        <rFont val="Arial MT"/>
        <family val="2"/>
      </rPr>
      <t>ADD: NEXT TO SHREE SHAYAM METAL FACTORY, REWARI ROAD, KHALETA, Rewari, Haryana, 123103</t>
    </r>
  </si>
  <si>
    <r>
      <rPr>
        <sz val="14"/>
        <rFont val="Calibri"/>
        <family val="1"/>
      </rPr>
      <t>Annexure-II</t>
    </r>
  </si>
  <si>
    <r>
      <rPr>
        <sz val="14"/>
        <rFont val="Calibri"/>
        <family val="1"/>
      </rPr>
      <t>For Non Torrefied Biomass Pellets</t>
    </r>
  </si>
  <si>
    <r>
      <rPr>
        <sz val="14"/>
        <rFont val="Calibri"/>
        <family val="1"/>
      </rPr>
      <t>Tag for Consignment</t>
    </r>
  </si>
  <si>
    <r>
      <rPr>
        <sz val="14"/>
        <rFont val="Calibri"/>
        <family val="1"/>
      </rPr>
      <t>General Details</t>
    </r>
  </si>
  <si>
    <r>
      <rPr>
        <sz val="11"/>
        <rFont val="Calibri"/>
        <family val="1"/>
      </rPr>
      <t>Name of Company</t>
    </r>
  </si>
  <si>
    <r>
      <rPr>
        <sz val="11"/>
        <rFont val="Calibri"/>
        <family val="1"/>
      </rPr>
      <t>Address of Manufacturing Location</t>
    </r>
  </si>
  <si>
    <r>
      <rPr>
        <sz val="11"/>
        <rFont val="Calibri"/>
        <family val="1"/>
      </rPr>
      <t>Date of Dispatch</t>
    </r>
  </si>
  <si>
    <r>
      <rPr>
        <sz val="11"/>
        <rFont val="Calibri"/>
        <family val="1"/>
      </rPr>
      <t>Batch Number</t>
    </r>
  </si>
  <si>
    <r>
      <rPr>
        <sz val="11"/>
        <rFont val="Calibri"/>
        <family val="1"/>
      </rPr>
      <t>Carriage Vehicle Type / Number</t>
    </r>
  </si>
  <si>
    <r>
      <rPr>
        <sz val="11"/>
        <rFont val="Calibri"/>
        <family val="1"/>
      </rPr>
      <t>Weight</t>
    </r>
  </si>
  <si>
    <r>
      <rPr>
        <sz val="11"/>
        <rFont val="Calibri"/>
        <family val="1"/>
      </rPr>
      <t>KG</t>
    </r>
  </si>
  <si>
    <r>
      <rPr>
        <sz val="11"/>
        <rFont val="Calibri"/>
        <family val="1"/>
      </rPr>
      <t>Any Other Details as applicable</t>
    </r>
  </si>
  <si>
    <r>
      <rPr>
        <sz val="12"/>
        <rFont val="Calibri"/>
        <family val="1"/>
      </rPr>
      <t>Diameter of Pellet in MM</t>
    </r>
  </si>
  <si>
    <r>
      <rPr>
        <sz val="12"/>
        <rFont val="Calibri"/>
        <family val="1"/>
      </rPr>
      <t>Name of Base material and its %</t>
    </r>
  </si>
  <si>
    <r>
      <rPr>
        <sz val="12"/>
        <rFont val="Calibri"/>
        <family val="1"/>
      </rPr>
      <t>Mixing Material and its %</t>
    </r>
  </si>
  <si>
    <r>
      <rPr>
        <sz val="12"/>
        <rFont val="Calibri"/>
        <family val="1"/>
      </rPr>
      <t>Additive and its %</t>
    </r>
  </si>
  <si>
    <r>
      <rPr>
        <sz val="12"/>
        <rFont val="Calibri"/>
        <family val="1"/>
      </rPr>
      <t>N</t>
    </r>
  </si>
  <si>
    <r>
      <rPr>
        <sz val="12"/>
        <rFont val="Calibri"/>
        <family val="1"/>
      </rPr>
      <t xml:space="preserve">D
</t>
    </r>
    <r>
      <rPr>
        <sz val="12"/>
        <rFont val="Calibri"/>
        <family val="1"/>
      </rPr>
      <t>e</t>
    </r>
  </si>
  <si>
    <r>
      <rPr>
        <sz val="12"/>
        <rFont val="Calibri"/>
        <family val="1"/>
      </rPr>
      <t>D</t>
    </r>
  </si>
  <si>
    <t>Place- Rewari</t>
  </si>
  <si>
    <t>1043 Mouda Super Thermal Power Project</t>
  </si>
  <si>
    <t>Quantity</t>
  </si>
  <si>
    <t>DELIVERY NOTE</t>
  </si>
  <si>
    <t>Mouda Ramtek Road, Mouda,</t>
  </si>
  <si>
    <t>RECEVIVED THR ABOVE MENTONED GOODS IN CONDITION</t>
  </si>
  <si>
    <t>Distt. Nagpur, Maharashtra</t>
  </si>
  <si>
    <t>Quadruplicate</t>
  </si>
  <si>
    <t>AGRO RESIDUE BIOMASS PELLETS</t>
  </si>
  <si>
    <t>M/S NTPC Limited</t>
  </si>
  <si>
    <t>4000348583-M11-1043                         Date:  03-01-2025</t>
  </si>
  <si>
    <t>(AUTHORIOSE SIGN.)</t>
  </si>
  <si>
    <t>Gross Weight</t>
  </si>
  <si>
    <t>Tare Weight</t>
  </si>
  <si>
    <t>Material Weight</t>
  </si>
  <si>
    <t>NO</t>
  </si>
  <si>
    <t>Technical Details</t>
  </si>
  <si>
    <t>18MM  with GCV 4000 Kcal/Kg</t>
  </si>
  <si>
    <t>Agro Residue Pellets- 80%</t>
  </si>
  <si>
    <t>Other Agro Residue Pellets- 20%</t>
  </si>
  <si>
    <t>NIL</t>
  </si>
  <si>
    <t>MD</t>
  </si>
  <si>
    <t>BILL TO.</t>
  </si>
  <si>
    <t>NTPC LIMITED</t>
  </si>
  <si>
    <t>1043, MOUDA SUPER THERMAL POWER PROJECT</t>
  </si>
  <si>
    <t>MOUDA-RAMTEK ROAD, MOUDA, DIS. NAGPUR</t>
  </si>
  <si>
    <t>PIN-441104</t>
  </si>
  <si>
    <t>GST : 27AAACN0255D1ZY</t>
  </si>
  <si>
    <t>REF. DOCUMENT NO.</t>
  </si>
  <si>
    <t>EWAY BILL NO.</t>
  </si>
  <si>
    <t>DELIVERY CHALLAN NO.</t>
  </si>
  <si>
    <t>DELIVERY CHALLAN DATE :</t>
  </si>
  <si>
    <t>PIYUSH TRANSPORT</t>
  </si>
  <si>
    <t>MH40BG9225</t>
  </si>
  <si>
    <t>MH31 2003050032</t>
  </si>
  <si>
    <t>BI/NTPC/MOU/089</t>
  </si>
  <si>
    <t>3923 0220 3448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</si>
</sst>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;@"/>
    <numFmt numFmtId="165" formatCode="0.000"/>
    <numFmt numFmtId="166" formatCode="0.000\ &quot;MTS&quot;"/>
    <numFmt numFmtId="167" formatCode="0\ &quot;KG&quot;"/>
  </numFmts>
  <fonts count="50">
    <font>
      <sz val="10"/>
      <color rgb="FF000000"/>
      <name val="Times New Roman"/>
      <charset val="204"/>
    </font>
    <font>
      <b/>
      <sz val="16"/>
      <name val="Arial"/>
      <family val="2"/>
    </font>
    <font>
      <sz val="9"/>
      <name val="Arial MT"/>
    </font>
    <font>
      <sz val="7.5"/>
      <name val="Arial MT"/>
    </font>
    <font>
      <sz val="8"/>
      <name val="Arial MT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sz val="9"/>
      <color rgb="FF000000"/>
      <name val="Arial MT"/>
      <family val="2"/>
    </font>
    <font>
      <b/>
      <sz val="9"/>
      <color rgb="FF000000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Arial MT"/>
      <family val="2"/>
    </font>
    <font>
      <u/>
      <sz val="8"/>
      <name val="Arial MT"/>
      <family val="2"/>
    </font>
    <font>
      <b/>
      <u/>
      <sz val="8"/>
      <name val="Arial"/>
      <family val="2"/>
    </font>
    <font>
      <sz val="10"/>
      <name val="Arial MT"/>
      <family val="2"/>
    </font>
    <font>
      <sz val="7"/>
      <name val="Arial MT"/>
      <family val="2"/>
    </font>
    <font>
      <b/>
      <u/>
      <sz val="9"/>
      <name val="Arial"/>
      <family val="2"/>
    </font>
    <font>
      <sz val="6"/>
      <name val="Arial MT"/>
      <family val="2"/>
    </font>
    <font>
      <sz val="10"/>
      <color rgb="FF000000"/>
      <name val="Times New Roman"/>
      <family val="1"/>
    </font>
    <font>
      <b/>
      <sz val="8"/>
      <name val="Arial MT"/>
    </font>
    <font>
      <b/>
      <sz val="18"/>
      <name val="Calibri"/>
      <family val="2"/>
    </font>
    <font>
      <b/>
      <sz val="19.5"/>
      <name val="Calibri"/>
      <family val="2"/>
    </font>
    <font>
      <b/>
      <sz val="9"/>
      <name val="Calibri"/>
      <family val="1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1.5"/>
      <name val="Calibri"/>
      <family val="1"/>
    </font>
    <font>
      <sz val="11.5"/>
      <name val="Calibri"/>
      <family val="2"/>
    </font>
    <font>
      <sz val="10"/>
      <name val="Times New Roman"/>
      <family val="2"/>
      <charset val="204"/>
    </font>
    <font>
      <b/>
      <sz val="20"/>
      <name val="Arial"/>
      <family val="2"/>
    </font>
    <font>
      <sz val="14"/>
      <name val="Calibri"/>
      <family val="2"/>
    </font>
    <font>
      <sz val="14"/>
      <name val="Calibri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b/>
      <sz val="12"/>
      <color rgb="FF000000"/>
      <name val="Calibri"/>
      <family val="2"/>
    </font>
    <font>
      <b/>
      <sz val="12"/>
      <name val="Calibri"/>
      <family val="1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9BE8F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265">
    <xf numFmtId="0" fontId="0" fillId="0" borderId="0" xfId="0" applyAlignment="1">
      <alignment horizontal="left" vertical="top"/>
    </xf>
    <xf numFmtId="0" fontId="0" fillId="2" borderId="13" xfId="0" applyFill="1" applyBorder="1" applyAlignment="1">
      <alignment horizontal="left" wrapText="1"/>
    </xf>
    <xf numFmtId="0" fontId="13" fillId="0" borderId="14" xfId="0" applyFont="1" applyBorder="1" applyAlignment="1">
      <alignment horizontal="right" vertical="top" wrapText="1"/>
    </xf>
    <xf numFmtId="10" fontId="14" fillId="0" borderId="14" xfId="0" applyNumberFormat="1" applyFont="1" applyBorder="1" applyAlignment="1">
      <alignment horizontal="center" vertical="top" shrinkToFit="1"/>
    </xf>
    <xf numFmtId="2" fontId="14" fillId="0" borderId="14" xfId="0" applyNumberFormat="1" applyFont="1" applyBorder="1" applyAlignment="1">
      <alignment horizontal="right" vertical="top" shrinkToFit="1"/>
    </xf>
    <xf numFmtId="0" fontId="0" fillId="0" borderId="1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2" fontId="8" fillId="2" borderId="29" xfId="0" applyNumberFormat="1" applyFont="1" applyFill="1" applyBorder="1" applyAlignment="1">
      <alignment horizontal="right" vertical="top" shrinkToFit="1"/>
    </xf>
    <xf numFmtId="2" fontId="14" fillId="0" borderId="31" xfId="0" applyNumberFormat="1" applyFont="1" applyBorder="1" applyAlignment="1">
      <alignment horizontal="right" vertical="top" shrinkToFit="1"/>
    </xf>
    <xf numFmtId="0" fontId="6" fillId="2" borderId="30" xfId="0" applyFont="1" applyFill="1" applyBorder="1" applyAlignment="1">
      <alignment horizontal="right" vertical="top" wrapText="1"/>
    </xf>
    <xf numFmtId="0" fontId="0" fillId="0" borderId="36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25" fillId="0" borderId="0" xfId="1" applyAlignment="1">
      <alignment horizontal="left" vertical="top"/>
    </xf>
    <xf numFmtId="0" fontId="25" fillId="0" borderId="9" xfId="1" applyBorder="1" applyAlignment="1">
      <alignment horizontal="left" wrapText="1"/>
    </xf>
    <xf numFmtId="0" fontId="31" fillId="0" borderId="9" xfId="1" applyFont="1" applyBorder="1" applyAlignment="1">
      <alignment horizontal="left" vertical="top" wrapText="1"/>
    </xf>
    <xf numFmtId="0" fontId="25" fillId="0" borderId="9" xfId="1" applyBorder="1" applyAlignment="1">
      <alignment horizontal="left" vertical="center" wrapText="1"/>
    </xf>
    <xf numFmtId="0" fontId="25" fillId="0" borderId="0" xfId="1" applyAlignment="1">
      <alignment horizontal="left" wrapText="1"/>
    </xf>
    <xf numFmtId="0" fontId="25" fillId="0" borderId="0" xfId="1" applyAlignment="1">
      <alignment horizontal="left" vertical="center" wrapText="1"/>
    </xf>
    <xf numFmtId="0" fontId="37" fillId="0" borderId="0" xfId="1" applyFont="1" applyAlignment="1">
      <alignment vertical="top" wrapText="1"/>
    </xf>
    <xf numFmtId="0" fontId="25" fillId="0" borderId="26" xfId="1" applyBorder="1" applyAlignment="1">
      <alignment horizontal="left" wrapText="1"/>
    </xf>
    <xf numFmtId="1" fontId="33" fillId="0" borderId="26" xfId="1" applyNumberFormat="1" applyFont="1" applyBorder="1" applyAlignment="1">
      <alignment horizontal="center" vertical="center" shrinkToFit="1"/>
    </xf>
    <xf numFmtId="0" fontId="30" fillId="0" borderId="26" xfId="1" applyFont="1" applyBorder="1" applyAlignment="1">
      <alignment horizontal="center" vertical="center" wrapText="1"/>
    </xf>
    <xf numFmtId="164" fontId="33" fillId="0" borderId="26" xfId="1" applyNumberFormat="1" applyFont="1" applyBorder="1" applyAlignment="1">
      <alignment horizontal="center" vertical="center" shrinkToFit="1"/>
    </xf>
    <xf numFmtId="0" fontId="31" fillId="0" borderId="26" xfId="1" applyFont="1" applyBorder="1" applyAlignment="1">
      <alignment horizontal="center" vertical="center" wrapText="1"/>
    </xf>
    <xf numFmtId="0" fontId="25" fillId="0" borderId="26" xfId="1" applyBorder="1" applyAlignment="1">
      <alignment horizontal="left" vertical="center" wrapText="1"/>
    </xf>
    <xf numFmtId="0" fontId="15" fillId="2" borderId="41" xfId="1" applyFont="1" applyFill="1" applyBorder="1" applyAlignment="1">
      <alignment horizontal="left" vertical="top" wrapText="1"/>
    </xf>
    <xf numFmtId="1" fontId="34" fillId="0" borderId="41" xfId="1" applyNumberFormat="1" applyFont="1" applyBorder="1" applyAlignment="1">
      <alignment horizontal="center" vertical="top" shrinkToFit="1"/>
    </xf>
    <xf numFmtId="1" fontId="41" fillId="0" borderId="41" xfId="1" applyNumberFormat="1" applyFont="1" applyBorder="1" applyAlignment="1">
      <alignment horizontal="center" vertical="top" shrinkToFit="1"/>
    </xf>
    <xf numFmtId="1" fontId="44" fillId="0" borderId="26" xfId="1" applyNumberFormat="1" applyFont="1" applyBorder="1" applyAlignment="1">
      <alignment horizontal="center" vertical="top" shrinkToFit="1"/>
    </xf>
    <xf numFmtId="1" fontId="47" fillId="0" borderId="41" xfId="1" applyNumberFormat="1" applyFont="1" applyBorder="1" applyAlignment="1">
      <alignment horizontal="center" vertical="top" shrinkToFit="1"/>
    </xf>
    <xf numFmtId="0" fontId="48" fillId="0" borderId="41" xfId="1" applyFont="1" applyBorder="1" applyAlignment="1">
      <alignment horizontal="center" vertical="top" wrapText="1"/>
    </xf>
    <xf numFmtId="0" fontId="25" fillId="0" borderId="41" xfId="1" applyBorder="1" applyAlignment="1">
      <alignment horizontal="left" vertical="top" wrapText="1"/>
    </xf>
    <xf numFmtId="0" fontId="48" fillId="0" borderId="43" xfId="1" applyFont="1" applyBorder="1" applyAlignment="1">
      <alignment horizontal="center" vertical="top" wrapText="1"/>
    </xf>
    <xf numFmtId="164" fontId="44" fillId="0" borderId="44" xfId="1" applyNumberFormat="1" applyFont="1" applyBorder="1" applyAlignment="1">
      <alignment horizontal="left" vertical="top" indent="2" shrinkToFit="1"/>
    </xf>
    <xf numFmtId="0" fontId="49" fillId="0" borderId="45" xfId="1" applyFont="1" applyBorder="1" applyAlignment="1">
      <alignment horizontal="left" vertical="top" wrapText="1" indent="1"/>
    </xf>
    <xf numFmtId="0" fontId="25" fillId="0" borderId="45" xfId="1" applyBorder="1" applyAlignment="1">
      <alignment horizontal="left" wrapText="1"/>
    </xf>
    <xf numFmtId="0" fontId="25" fillId="0" borderId="46" xfId="1" applyBorder="1" applyAlignment="1">
      <alignment horizontal="left" wrapText="1"/>
    </xf>
    <xf numFmtId="0" fontId="7" fillId="0" borderId="9" xfId="0" applyFont="1" applyBorder="1" applyAlignment="1">
      <alignment horizontal="left" vertical="top" wrapText="1" indent="1"/>
    </xf>
    <xf numFmtId="0" fontId="7" fillId="0" borderId="9" xfId="0" applyFont="1" applyBorder="1" applyAlignment="1">
      <alignment horizontal="right" vertical="top" wrapText="1"/>
    </xf>
    <xf numFmtId="164" fontId="8" fillId="0" borderId="26" xfId="0" applyNumberFormat="1" applyFont="1" applyBorder="1" applyAlignment="1">
      <alignment horizontal="left" vertical="top" indent="2" shrinkToFit="1"/>
    </xf>
    <xf numFmtId="0" fontId="4" fillId="0" borderId="9" xfId="0" applyFont="1" applyBorder="1" applyAlignment="1">
      <alignment horizontal="right" vertical="top" wrapText="1" indent="1"/>
    </xf>
    <xf numFmtId="1" fontId="9" fillId="0" borderId="26" xfId="0" applyNumberFormat="1" applyFont="1" applyBorder="1" applyAlignment="1">
      <alignment horizontal="center" vertical="top" shrinkToFit="1"/>
    </xf>
    <xf numFmtId="0" fontId="7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 indent="2"/>
    </xf>
    <xf numFmtId="1" fontId="10" fillId="0" borderId="26" xfId="0" applyNumberFormat="1" applyFont="1" applyBorder="1" applyAlignment="1">
      <alignment horizontal="center" vertical="top" shrinkToFit="1"/>
    </xf>
    <xf numFmtId="0" fontId="4" fillId="0" borderId="13" xfId="0" applyFont="1" applyBorder="1" applyAlignment="1">
      <alignment horizontal="left" vertical="top" wrapText="1" indent="1"/>
    </xf>
    <xf numFmtId="0" fontId="7" fillId="0" borderId="9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left" vertical="top" wrapText="1" indent="2"/>
    </xf>
    <xf numFmtId="0" fontId="7" fillId="0" borderId="26" xfId="0" applyFont="1" applyBorder="1" applyAlignment="1">
      <alignment horizontal="left" vertical="top" wrapText="1" indent="3"/>
    </xf>
    <xf numFmtId="165" fontId="11" fillId="0" borderId="13" xfId="0" applyNumberFormat="1" applyFont="1" applyBorder="1" applyAlignment="1">
      <alignment horizontal="right" vertical="top" shrinkToFit="1"/>
    </xf>
    <xf numFmtId="2" fontId="11" fillId="0" borderId="30" xfId="0" applyNumberFormat="1" applyFont="1" applyBorder="1" applyAlignment="1">
      <alignment horizontal="right" vertical="top" shrinkToFit="1"/>
    </xf>
    <xf numFmtId="2" fontId="12" fillId="0" borderId="26" xfId="0" applyNumberFormat="1" applyFont="1" applyBorder="1" applyAlignment="1">
      <alignment horizontal="right" vertical="top" shrinkToFit="1"/>
    </xf>
    <xf numFmtId="0" fontId="0" fillId="0" borderId="29" xfId="0" applyBorder="1" applyAlignment="1">
      <alignment horizontal="left" wrapText="1"/>
    </xf>
    <xf numFmtId="2" fontId="11" fillId="0" borderId="31" xfId="0" applyNumberFormat="1" applyFont="1" applyBorder="1" applyAlignment="1">
      <alignment horizontal="right" vertical="top" shrinkToFit="1"/>
    </xf>
    <xf numFmtId="0" fontId="0" fillId="0" borderId="5" xfId="0" applyBorder="1" applyAlignment="1">
      <alignment horizontal="left" wrapText="1"/>
    </xf>
    <xf numFmtId="165" fontId="33" fillId="0" borderId="26" xfId="1" applyNumberFormat="1" applyFont="1" applyBorder="1" applyAlignment="1">
      <alignment horizontal="center" vertical="top" shrinkToFit="1"/>
    </xf>
    <xf numFmtId="0" fontId="7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top" wrapText="1" indent="3"/>
    </xf>
    <xf numFmtId="0" fontId="7" fillId="0" borderId="15" xfId="0" applyFont="1" applyBorder="1" applyAlignment="1">
      <alignment horizontal="left" vertical="top" wrapText="1" indent="3"/>
    </xf>
    <xf numFmtId="0" fontId="0" fillId="0" borderId="47" xfId="0" applyBorder="1" applyAlignment="1">
      <alignment horizontal="left" wrapText="1"/>
    </xf>
    <xf numFmtId="0" fontId="4" fillId="0" borderId="47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 indent="1"/>
    </xf>
    <xf numFmtId="0" fontId="7" fillId="0" borderId="47" xfId="0" applyFont="1" applyBorder="1" applyAlignment="1">
      <alignment horizontal="left" vertical="top" wrapText="1" indent="1"/>
    </xf>
    <xf numFmtId="166" fontId="30" fillId="0" borderId="26" xfId="1" applyNumberFormat="1" applyFont="1" applyBorder="1" applyAlignment="1">
      <alignment horizontal="center" vertical="top" wrapText="1"/>
    </xf>
    <xf numFmtId="167" fontId="44" fillId="0" borderId="26" xfId="1" applyNumberFormat="1" applyFont="1" applyBorder="1" applyAlignment="1">
      <alignment horizontal="center" vertical="top" shrinkToFit="1"/>
    </xf>
    <xf numFmtId="0" fontId="0" fillId="0" borderId="24" xfId="0" applyBorder="1" applyAlignment="1">
      <alignment horizontal="left" wrapText="1"/>
    </xf>
    <xf numFmtId="0" fontId="0" fillId="0" borderId="50" xfId="0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7" fillId="0" borderId="12" xfId="0" applyFont="1" applyBorder="1" applyAlignment="1">
      <alignment horizontal="left" vertical="top" wrapText="1" indent="1"/>
    </xf>
    <xf numFmtId="0" fontId="4" fillId="0" borderId="12" xfId="0" applyFont="1" applyBorder="1" applyAlignment="1">
      <alignment horizontal="left" vertical="top" wrapText="1" indent="1"/>
    </xf>
    <xf numFmtId="0" fontId="2" fillId="0" borderId="1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43" fillId="0" borderId="9" xfId="1" applyFont="1" applyBorder="1" applyAlignment="1">
      <alignment horizontal="center" vertical="top" wrapText="1"/>
    </xf>
    <xf numFmtId="0" fontId="15" fillId="2" borderId="26" xfId="1" applyFont="1" applyFill="1" applyBorder="1" applyAlignment="1">
      <alignment horizontal="center" vertical="top" wrapText="1"/>
    </xf>
    <xf numFmtId="0" fontId="32" fillId="0" borderId="9" xfId="1" applyFont="1" applyBorder="1" applyAlignment="1">
      <alignment horizontal="left" vertical="top" wrapText="1"/>
    </xf>
    <xf numFmtId="1" fontId="11" fillId="0" borderId="13" xfId="0" applyNumberFormat="1" applyFont="1" applyBorder="1" applyAlignment="1">
      <alignment vertical="top" shrinkToFit="1"/>
    </xf>
    <xf numFmtId="1" fontId="11" fillId="0" borderId="14" xfId="0" applyNumberFormat="1" applyFont="1" applyBorder="1" applyAlignment="1">
      <alignment vertical="top" shrinkToFit="1"/>
    </xf>
    <xf numFmtId="1" fontId="11" fillId="0" borderId="15" xfId="0" applyNumberFormat="1" applyFont="1" applyBorder="1" applyAlignment="1">
      <alignment vertical="top" shrinkToFit="1"/>
    </xf>
    <xf numFmtId="0" fontId="16" fillId="0" borderId="13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32" fillId="0" borderId="25" xfId="1" applyFont="1" applyBorder="1" applyAlignment="1">
      <alignment horizontal="left" vertical="top" wrapText="1"/>
    </xf>
    <xf numFmtId="0" fontId="31" fillId="0" borderId="3" xfId="1" applyFont="1" applyBorder="1" applyAlignment="1">
      <alignment horizontal="left" vertical="top" wrapText="1"/>
    </xf>
    <xf numFmtId="0" fontId="31" fillId="0" borderId="33" xfId="1" applyFont="1" applyBorder="1" applyAlignment="1">
      <alignment horizontal="left" vertical="top" wrapText="1"/>
    </xf>
    <xf numFmtId="0" fontId="31" fillId="0" borderId="35" xfId="1" applyFont="1" applyBorder="1" applyAlignment="1">
      <alignment horizontal="left" vertical="top" wrapText="1"/>
    </xf>
    <xf numFmtId="0" fontId="35" fillId="0" borderId="1" xfId="1" applyFont="1" applyBorder="1" applyAlignment="1">
      <alignment horizontal="right" vertical="top" wrapText="1"/>
    </xf>
    <xf numFmtId="0" fontId="36" fillId="0" borderId="32" xfId="1" applyFont="1" applyBorder="1" applyAlignment="1">
      <alignment horizontal="right" vertical="top" wrapText="1"/>
    </xf>
    <xf numFmtId="0" fontId="32" fillId="0" borderId="36" xfId="1" applyFont="1" applyBorder="1" applyAlignment="1">
      <alignment horizontal="right" vertical="center" wrapText="1" indent="5"/>
    </xf>
    <xf numFmtId="0" fontId="31" fillId="0" borderId="37" xfId="1" applyFont="1" applyBorder="1" applyAlignment="1">
      <alignment horizontal="right" vertical="center" wrapText="1" indent="5"/>
    </xf>
    <xf numFmtId="0" fontId="32" fillId="0" borderId="23" xfId="1" applyFont="1" applyBorder="1" applyAlignment="1">
      <alignment horizontal="left" vertical="top" wrapText="1"/>
    </xf>
    <xf numFmtId="0" fontId="31" fillId="0" borderId="12" xfId="1" applyFont="1" applyBorder="1" applyAlignment="1">
      <alignment horizontal="left" vertical="top" wrapText="1"/>
    </xf>
    <xf numFmtId="0" fontId="31" fillId="0" borderId="23" xfId="1" applyFont="1" applyBorder="1" applyAlignment="1">
      <alignment horizontal="left" vertical="top" wrapText="1"/>
    </xf>
    <xf numFmtId="0" fontId="15" fillId="2" borderId="10" xfId="1" applyFont="1" applyFill="1" applyBorder="1" applyAlignment="1">
      <alignment horizontal="left" vertical="top" wrapText="1" indent="13"/>
    </xf>
    <xf numFmtId="0" fontId="15" fillId="2" borderId="12" xfId="1" applyFont="1" applyFill="1" applyBorder="1" applyAlignment="1">
      <alignment horizontal="left" vertical="top" wrapText="1" indent="13"/>
    </xf>
    <xf numFmtId="0" fontId="31" fillId="0" borderId="10" xfId="1" applyFont="1" applyBorder="1" applyAlignment="1">
      <alignment horizontal="center" vertical="top" wrapText="1"/>
    </xf>
    <xf numFmtId="0" fontId="31" fillId="0" borderId="12" xfId="1" applyFont="1" applyBorder="1" applyAlignment="1">
      <alignment horizontal="center" vertical="top" wrapText="1"/>
    </xf>
    <xf numFmtId="0" fontId="31" fillId="0" borderId="23" xfId="1" applyFont="1" applyBorder="1" applyAlignment="1">
      <alignment horizontal="center" vertical="top" wrapText="1"/>
    </xf>
    <xf numFmtId="0" fontId="31" fillId="0" borderId="11" xfId="1" applyFont="1" applyBorder="1" applyAlignment="1">
      <alignment horizontal="center" vertical="top" wrapText="1"/>
    </xf>
    <xf numFmtId="0" fontId="27" fillId="0" borderId="38" xfId="1" applyFont="1" applyBorder="1" applyAlignment="1">
      <alignment horizontal="center" vertical="top" wrapText="1"/>
    </xf>
    <xf numFmtId="0" fontId="28" fillId="0" borderId="39" xfId="1" applyFont="1" applyBorder="1" applyAlignment="1">
      <alignment horizontal="center" vertical="top" wrapText="1"/>
    </xf>
    <xf numFmtId="0" fontId="28" fillId="0" borderId="40" xfId="1" applyFont="1" applyBorder="1" applyAlignment="1">
      <alignment horizontal="center" vertical="top" wrapText="1"/>
    </xf>
    <xf numFmtId="0" fontId="29" fillId="0" borderId="23" xfId="1" applyFont="1" applyBorder="1" applyAlignment="1">
      <alignment horizontal="center" vertical="top" wrapText="1"/>
    </xf>
    <xf numFmtId="0" fontId="30" fillId="0" borderId="11" xfId="1" applyFont="1" applyBorder="1" applyAlignment="1">
      <alignment horizontal="center" vertical="top" wrapText="1"/>
    </xf>
    <xf numFmtId="0" fontId="30" fillId="0" borderId="24" xfId="1" applyFont="1" applyBorder="1" applyAlignment="1">
      <alignment horizontal="center" vertical="top" wrapText="1"/>
    </xf>
    <xf numFmtId="0" fontId="1" fillId="0" borderId="23" xfId="1" applyFont="1" applyBorder="1" applyAlignment="1">
      <alignment horizontal="center" vertical="top" wrapText="1"/>
    </xf>
    <xf numFmtId="0" fontId="1" fillId="0" borderId="11" xfId="1" applyFont="1" applyBorder="1" applyAlignment="1">
      <alignment horizontal="center" vertical="top" wrapText="1"/>
    </xf>
    <xf numFmtId="0" fontId="1" fillId="0" borderId="24" xfId="1" applyFont="1" applyBorder="1" applyAlignment="1">
      <alignment horizontal="center" vertical="top" wrapText="1"/>
    </xf>
    <xf numFmtId="0" fontId="29" fillId="0" borderId="23" xfId="1" applyFont="1" applyBorder="1" applyAlignment="1">
      <alignment horizontal="left" vertical="top" wrapText="1"/>
    </xf>
    <xf numFmtId="0" fontId="30" fillId="0" borderId="11" xfId="1" applyFont="1" applyBorder="1" applyAlignment="1">
      <alignment horizontal="left" vertical="top" wrapText="1"/>
    </xf>
    <xf numFmtId="0" fontId="30" fillId="0" borderId="12" xfId="1" applyFont="1" applyBorder="1" applyAlignment="1">
      <alignment horizontal="left" vertical="top" wrapText="1"/>
    </xf>
    <xf numFmtId="0" fontId="25" fillId="0" borderId="23" xfId="1" applyBorder="1" applyAlignment="1">
      <alignment horizontal="left" wrapText="1"/>
    </xf>
    <xf numFmtId="0" fontId="25" fillId="0" borderId="12" xfId="1" applyBorder="1" applyAlignment="1">
      <alignment horizontal="left" wrapText="1"/>
    </xf>
    <xf numFmtId="0" fontId="0" fillId="0" borderId="33" xfId="0" applyBorder="1" applyAlignment="1">
      <alignment horizontal="left" vertical="top" wrapText="1" indent="1"/>
    </xf>
    <xf numFmtId="0" fontId="0" fillId="0" borderId="34" xfId="0" applyBorder="1" applyAlignment="1">
      <alignment horizontal="left" vertical="top" wrapText="1" indent="1"/>
    </xf>
    <xf numFmtId="0" fontId="0" fillId="0" borderId="35" xfId="0" applyBorder="1" applyAlignment="1">
      <alignment horizontal="left" vertical="top" wrapText="1" indent="1"/>
    </xf>
    <xf numFmtId="0" fontId="6" fillId="0" borderId="34" xfId="0" applyFont="1" applyBorder="1" applyAlignment="1">
      <alignment horizontal="left" wrapText="1" indent="5"/>
    </xf>
    <xf numFmtId="0" fontId="6" fillId="0" borderId="37" xfId="0" applyFont="1" applyBorder="1" applyAlignment="1">
      <alignment horizontal="left" wrapText="1" indent="5"/>
    </xf>
    <xf numFmtId="0" fontId="7" fillId="0" borderId="17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2" xfId="0" applyFont="1" applyBorder="1" applyAlignment="1">
      <alignment horizontal="center" vertical="top" wrapText="1"/>
    </xf>
    <xf numFmtId="0" fontId="18" fillId="0" borderId="2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2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15" fillId="0" borderId="25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0" fillId="2" borderId="25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5" fillId="2" borderId="8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7" fillId="0" borderId="23" xfId="0" applyFont="1" applyBorder="1" applyAlignment="1">
      <alignment horizontal="left" vertical="top" wrapText="1" indent="3"/>
    </xf>
    <xf numFmtId="0" fontId="7" fillId="0" borderId="12" xfId="0" applyFont="1" applyBorder="1" applyAlignment="1">
      <alignment horizontal="left" vertical="top" wrapText="1" indent="3"/>
    </xf>
    <xf numFmtId="1" fontId="11" fillId="0" borderId="25" xfId="0" applyNumberFormat="1" applyFont="1" applyBorder="1" applyAlignment="1">
      <alignment horizontal="right" vertical="top" indent="1" shrinkToFit="1"/>
    </xf>
    <xf numFmtId="1" fontId="11" fillId="0" borderId="3" xfId="0" applyNumberFormat="1" applyFont="1" applyBorder="1" applyAlignment="1">
      <alignment horizontal="right" vertical="top" indent="1" shrinkToFit="1"/>
    </xf>
    <xf numFmtId="1" fontId="11" fillId="0" borderId="21" xfId="0" applyNumberFormat="1" applyFont="1" applyBorder="1" applyAlignment="1">
      <alignment horizontal="right" vertical="top" indent="1" shrinkToFit="1"/>
    </xf>
    <xf numFmtId="1" fontId="11" fillId="0" borderId="8" xfId="0" applyNumberFormat="1" applyFont="1" applyBorder="1" applyAlignment="1">
      <alignment horizontal="right" vertical="top" indent="1" shrinkToFit="1"/>
    </xf>
    <xf numFmtId="0" fontId="2" fillId="0" borderId="13" xfId="0" applyFont="1" applyBorder="1" applyAlignment="1">
      <alignment horizontal="left" vertical="top" wrapText="1" indent="2"/>
    </xf>
    <xf numFmtId="0" fontId="2" fillId="0" borderId="14" xfId="0" applyFont="1" applyBorder="1" applyAlignment="1">
      <alignment horizontal="left" vertical="top" wrapText="1" indent="2"/>
    </xf>
    <xf numFmtId="0" fontId="2" fillId="0" borderId="15" xfId="0" applyFont="1" applyBorder="1" applyAlignment="1">
      <alignment horizontal="left" vertical="top" wrapText="1" indent="2"/>
    </xf>
    <xf numFmtId="0" fontId="0" fillId="0" borderId="13" xfId="0" applyBorder="1" applyAlignment="1">
      <alignment horizontal="left" vertical="top" wrapText="1"/>
    </xf>
    <xf numFmtId="2" fontId="11" fillId="0" borderId="29" xfId="0" applyNumberFormat="1" applyFont="1" applyBorder="1" applyAlignment="1">
      <alignment horizontal="right" vertical="top" shrinkToFit="1"/>
    </xf>
    <xf numFmtId="2" fontId="11" fillId="0" borderId="30" xfId="0" applyNumberFormat="1" applyFont="1" applyBorder="1" applyAlignment="1">
      <alignment horizontal="right" vertical="top" shrinkToFit="1"/>
    </xf>
    <xf numFmtId="0" fontId="2" fillId="0" borderId="2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26" fillId="0" borderId="11" xfId="0" quotePrefix="1" applyFont="1" applyBorder="1" applyAlignment="1">
      <alignment horizontal="left" vertical="top" wrapText="1"/>
    </xf>
    <xf numFmtId="0" fontId="26" fillId="0" borderId="11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0" fillId="0" borderId="25" xfId="0" applyFont="1" applyBorder="1" applyAlignment="1">
      <alignment horizontal="left" vertical="top" wrapText="1" indent="2"/>
    </xf>
    <xf numFmtId="0" fontId="20" fillId="0" borderId="2" xfId="0" applyFont="1" applyBorder="1" applyAlignment="1">
      <alignment horizontal="left" vertical="top" wrapText="1" indent="2"/>
    </xf>
    <xf numFmtId="0" fontId="20" fillId="0" borderId="51" xfId="0" applyFont="1" applyBorder="1" applyAlignment="1">
      <alignment horizontal="left" vertical="top" wrapText="1" indent="2"/>
    </xf>
    <xf numFmtId="0" fontId="18" fillId="0" borderId="19" xfId="0" applyFont="1" applyBorder="1" applyAlignment="1">
      <alignment horizontal="left" vertical="top" wrapText="1" indent="1"/>
    </xf>
    <xf numFmtId="0" fontId="7" fillId="0" borderId="48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24" xfId="0" applyFont="1" applyBorder="1" applyAlignment="1">
      <alignment horizontal="center" vertical="top" wrapText="1"/>
    </xf>
    <xf numFmtId="0" fontId="0" fillId="0" borderId="12" xfId="0" applyBorder="1" applyAlignment="1">
      <alignment horizontal="left" wrapText="1"/>
    </xf>
    <xf numFmtId="0" fontId="18" fillId="0" borderId="10" xfId="0" applyFont="1" applyBorder="1" applyAlignment="1">
      <alignment horizontal="left" vertical="top" wrapText="1" indent="4"/>
    </xf>
    <xf numFmtId="0" fontId="4" fillId="0" borderId="12" xfId="0" applyFont="1" applyBorder="1" applyAlignment="1">
      <alignment horizontal="left" vertical="top" wrapText="1" indent="4"/>
    </xf>
    <xf numFmtId="0" fontId="4" fillId="0" borderId="5" xfId="0" applyFont="1" applyBorder="1" applyAlignment="1">
      <alignment horizontal="left" vertical="top" wrapText="1" inden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7" fillId="0" borderId="47" xfId="0" applyFont="1" applyBorder="1" applyAlignment="1">
      <alignment horizontal="left" vertical="top" wrapText="1" indent="2"/>
    </xf>
    <xf numFmtId="0" fontId="16" fillId="0" borderId="7" xfId="0" applyFont="1" applyBorder="1" applyAlignment="1">
      <alignment horizontal="left" vertical="center" wrapText="1" indent="6"/>
    </xf>
    <xf numFmtId="0" fontId="2" fillId="0" borderId="7" xfId="0" applyFont="1" applyBorder="1" applyAlignment="1">
      <alignment horizontal="left" vertical="center" wrapText="1" indent="6"/>
    </xf>
    <xf numFmtId="0" fontId="5" fillId="0" borderId="2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top" wrapText="1"/>
    </xf>
    <xf numFmtId="1" fontId="8" fillId="0" borderId="10" xfId="0" applyNumberFormat="1" applyFont="1" applyBorder="1" applyAlignment="1">
      <alignment horizontal="center" vertical="top" shrinkToFit="1"/>
    </xf>
    <xf numFmtId="1" fontId="8" fillId="0" borderId="12" xfId="0" applyNumberFormat="1" applyFont="1" applyBorder="1" applyAlignment="1">
      <alignment horizontal="center" vertical="top" shrinkToFit="1"/>
    </xf>
    <xf numFmtId="0" fontId="2" fillId="0" borderId="17" xfId="0" applyFont="1" applyBorder="1" applyAlignment="1">
      <alignment horizontal="left" vertical="center" wrapText="1" indent="6"/>
    </xf>
    <xf numFmtId="0" fontId="17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6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41" fillId="0" borderId="28" xfId="1" applyNumberFormat="1" applyFont="1" applyBorder="1" applyAlignment="1">
      <alignment horizontal="left" vertical="top" shrinkToFit="1"/>
    </xf>
    <xf numFmtId="1" fontId="41" fillId="0" borderId="27" xfId="1" applyNumberFormat="1" applyFont="1" applyBorder="1" applyAlignment="1">
      <alignment horizontal="left" vertical="top" shrinkToFit="1"/>
    </xf>
    <xf numFmtId="1" fontId="41" fillId="0" borderId="42" xfId="1" applyNumberFormat="1" applyFont="1" applyBorder="1" applyAlignment="1">
      <alignment horizontal="left" vertical="top" shrinkToFit="1"/>
    </xf>
    <xf numFmtId="0" fontId="42" fillId="0" borderId="1" xfId="1" applyFont="1" applyBorder="1" applyAlignment="1">
      <alignment horizontal="center" vertical="top" wrapText="1"/>
    </xf>
    <xf numFmtId="0" fontId="42" fillId="0" borderId="3" xfId="1" applyFont="1" applyBorder="1" applyAlignment="1">
      <alignment horizontal="center" vertical="top" wrapText="1"/>
    </xf>
    <xf numFmtId="0" fontId="42" fillId="0" borderId="4" xfId="1" applyFont="1" applyBorder="1" applyAlignment="1">
      <alignment horizontal="center" vertical="top" wrapText="1"/>
    </xf>
    <xf numFmtId="0" fontId="42" fillId="0" borderId="5" xfId="1" applyFont="1" applyBorder="1" applyAlignment="1">
      <alignment horizontal="center" vertical="top" wrapText="1"/>
    </xf>
    <xf numFmtId="0" fontId="42" fillId="0" borderId="6" xfId="1" applyFont="1" applyBorder="1" applyAlignment="1">
      <alignment horizontal="center" vertical="top" wrapText="1"/>
    </xf>
    <xf numFmtId="0" fontId="42" fillId="0" borderId="8" xfId="1" applyFont="1" applyBorder="1" applyAlignment="1">
      <alignment horizontal="center" vertical="top" wrapText="1"/>
    </xf>
    <xf numFmtId="0" fontId="42" fillId="0" borderId="13" xfId="1" applyFont="1" applyBorder="1" applyAlignment="1">
      <alignment horizontal="center" vertical="top" wrapText="1"/>
    </xf>
    <xf numFmtId="0" fontId="42" fillId="0" borderId="14" xfId="1" applyFont="1" applyBorder="1" applyAlignment="1">
      <alignment horizontal="center" vertical="top" wrapText="1"/>
    </xf>
    <xf numFmtId="0" fontId="42" fillId="0" borderId="15" xfId="1" applyFont="1" applyBorder="1" applyAlignment="1">
      <alignment horizontal="center" vertical="top" wrapText="1"/>
    </xf>
    <xf numFmtId="0" fontId="49" fillId="0" borderId="10" xfId="1" applyFont="1" applyBorder="1" applyAlignment="1">
      <alignment horizontal="left" vertical="top" wrapText="1"/>
    </xf>
    <xf numFmtId="0" fontId="48" fillId="0" borderId="11" xfId="1" applyFont="1" applyBorder="1" applyAlignment="1">
      <alignment horizontal="left" vertical="top" wrapText="1"/>
    </xf>
    <xf numFmtId="0" fontId="48" fillId="0" borderId="24" xfId="1" applyFont="1" applyBorder="1" applyAlignment="1">
      <alignment horizontal="left" vertical="top" wrapText="1"/>
    </xf>
    <xf numFmtId="0" fontId="42" fillId="0" borderId="10" xfId="1" applyFont="1" applyBorder="1" applyAlignment="1">
      <alignment horizontal="left" vertical="top" wrapText="1"/>
    </xf>
    <xf numFmtId="0" fontId="42" fillId="0" borderId="12" xfId="1" applyFont="1" applyBorder="1" applyAlignment="1">
      <alignment horizontal="left" vertical="top" wrapText="1"/>
    </xf>
    <xf numFmtId="0" fontId="43" fillId="0" borderId="10" xfId="1" applyFont="1" applyBorder="1" applyAlignment="1">
      <alignment horizontal="center" vertical="top" wrapText="1"/>
    </xf>
    <xf numFmtId="0" fontId="42" fillId="0" borderId="24" xfId="1" applyFont="1" applyBorder="1" applyAlignment="1">
      <alignment horizontal="center" vertical="top" wrapText="1"/>
    </xf>
    <xf numFmtId="0" fontId="43" fillId="0" borderId="23" xfId="1" applyFont="1" applyBorder="1" applyAlignment="1">
      <alignment horizontal="center" vertical="top" wrapText="1"/>
    </xf>
    <xf numFmtId="0" fontId="42" fillId="0" borderId="11" xfId="1" applyFont="1" applyBorder="1" applyAlignment="1">
      <alignment horizontal="center" vertical="top" wrapText="1"/>
    </xf>
    <xf numFmtId="0" fontId="48" fillId="0" borderId="10" xfId="1" applyFont="1" applyBorder="1" applyAlignment="1">
      <alignment horizontal="left" vertical="top" wrapText="1"/>
    </xf>
    <xf numFmtId="0" fontId="48" fillId="0" borderId="12" xfId="1" applyFont="1" applyBorder="1" applyAlignment="1">
      <alignment horizontal="left" vertical="top" wrapText="1"/>
    </xf>
    <xf numFmtId="0" fontId="43" fillId="0" borderId="10" xfId="1" applyFont="1" applyBorder="1" applyAlignment="1">
      <alignment horizontal="left" vertical="top" wrapText="1"/>
    </xf>
    <xf numFmtId="0" fontId="42" fillId="0" borderId="24" xfId="1" applyFont="1" applyBorder="1" applyAlignment="1">
      <alignment horizontal="left" vertical="top" wrapText="1"/>
    </xf>
    <xf numFmtId="164" fontId="44" fillId="0" borderId="10" xfId="1" applyNumberFormat="1" applyFont="1" applyBorder="1" applyAlignment="1">
      <alignment horizontal="center" vertical="top" shrinkToFit="1"/>
    </xf>
    <xf numFmtId="164" fontId="44" fillId="0" borderId="24" xfId="1" applyNumberFormat="1" applyFont="1" applyBorder="1" applyAlignment="1">
      <alignment horizontal="center" vertical="top" shrinkToFit="1"/>
    </xf>
    <xf numFmtId="1" fontId="44" fillId="0" borderId="10" xfId="1" applyNumberFormat="1" applyFont="1" applyBorder="1" applyAlignment="1">
      <alignment horizontal="center" vertical="top" shrinkToFit="1"/>
    </xf>
    <xf numFmtId="1" fontId="44" fillId="0" borderId="24" xfId="1" applyNumberFormat="1" applyFont="1" applyBorder="1" applyAlignment="1">
      <alignment horizontal="center" vertical="top" shrinkToFit="1"/>
    </xf>
    <xf numFmtId="0" fontId="45" fillId="0" borderId="10" xfId="1" applyFont="1" applyBorder="1" applyAlignment="1">
      <alignment horizontal="center" vertical="top" wrapText="1"/>
    </xf>
    <xf numFmtId="0" fontId="46" fillId="0" borderId="24" xfId="1" applyFont="1" applyBorder="1" applyAlignment="1">
      <alignment horizontal="center" vertical="top" wrapText="1"/>
    </xf>
    <xf numFmtId="0" fontId="37" fillId="0" borderId="38" xfId="1" applyFont="1" applyBorder="1" applyAlignment="1">
      <alignment horizontal="center" vertical="top" wrapText="1"/>
    </xf>
    <xf numFmtId="0" fontId="37" fillId="0" borderId="39" xfId="1" applyFont="1" applyBorder="1" applyAlignment="1">
      <alignment horizontal="center" vertical="top" wrapText="1"/>
    </xf>
    <xf numFmtId="0" fontId="37" fillId="0" borderId="40" xfId="1" applyFont="1" applyBorder="1" applyAlignment="1">
      <alignment horizontal="center" vertical="top" wrapText="1"/>
    </xf>
    <xf numFmtId="0" fontId="39" fillId="0" borderId="23" xfId="1" applyFont="1" applyBorder="1" applyAlignment="1">
      <alignment horizontal="center" vertical="top" wrapText="1"/>
    </xf>
    <xf numFmtId="0" fontId="39" fillId="0" borderId="11" xfId="1" applyFont="1" applyBorder="1" applyAlignment="1">
      <alignment horizontal="center" vertical="top" wrapText="1"/>
    </xf>
    <xf numFmtId="0" fontId="39" fillId="0" borderId="24" xfId="1" applyFont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4460</xdr:colOff>
      <xdr:row>0</xdr:row>
      <xdr:rowOff>9525</xdr:rowOff>
    </xdr:from>
    <xdr:ext cx="347551" cy="746263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353700" y="9525"/>
          <a:ext cx="347551" cy="746263"/>
          <a:chOff x="0" y="0"/>
          <a:chExt cx="323215" cy="76708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23088" cy="609600"/>
          </a:xfrm>
          <a:prstGeom prst="rect">
            <a:avLst/>
          </a:prstGeom>
        </xdr:spPr>
      </xdr:pic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8658"/>
            <a:ext cx="323088" cy="627913"/>
          </a:xfrm>
          <a:prstGeom prst="rect">
            <a:avLst/>
          </a:prstGeom>
        </xdr:spPr>
      </xdr:pic>
    </xdr:grpSp>
    <xdr:clientData/>
  </xdr:oneCellAnchor>
  <xdr:twoCellAnchor editAs="oneCell">
    <xdr:from>
      <xdr:col>6</xdr:col>
      <xdr:colOff>104862</xdr:colOff>
      <xdr:row>35</xdr:row>
      <xdr:rowOff>122340</xdr:rowOff>
    </xdr:from>
    <xdr:to>
      <xdr:col>7</xdr:col>
      <xdr:colOff>462222</xdr:colOff>
      <xdr:row>39</xdr:row>
      <xdr:rowOff>26217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85D796-931E-9D01-F9CD-8F363662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5642" y="9079335"/>
          <a:ext cx="1161305" cy="1136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1104900</xdr:colOff>
      <xdr:row>18</xdr:row>
      <xdr:rowOff>28574</xdr:rowOff>
    </xdr:from>
    <xdr:to>
      <xdr:col>5</xdr:col>
      <xdr:colOff>1057275</xdr:colOff>
      <xdr:row>22</xdr:row>
      <xdr:rowOff>132463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B928D-C4C1-42C5-8586-9D2EA120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5067299"/>
          <a:ext cx="1352550" cy="13230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205581</xdr:colOff>
      <xdr:row>17</xdr:row>
      <xdr:rowOff>105964</xdr:rowOff>
    </xdr:from>
    <xdr:to>
      <xdr:col>4</xdr:col>
      <xdr:colOff>6349</xdr:colOff>
      <xdr:row>21</xdr:row>
      <xdr:rowOff>105701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1D199-3A00-4D86-A441-06159CB8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6440" y="4779167"/>
          <a:ext cx="1328737" cy="1289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628C34-04AD-4F6C-96E3-A686359E0EEA}">
  <we:reference id="wa200006009" version="2.1.0.10" store="en-U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-sanjaybiofue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EMAIL-sanjaybiofu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view="pageBreakPreview" topLeftCell="A7" zoomScaleNormal="109" zoomScaleSheetLayoutView="100" workbookViewId="0">
      <selection activeCell="F20" sqref="F20"/>
    </sheetView>
  </sheetViews>
  <sheetFormatPr defaultRowHeight="13.2"/>
  <cols>
    <col min="1" max="2" width="6.77734375" customWidth="1"/>
    <col min="3" max="3" width="34" customWidth="1"/>
    <col min="4" max="4" width="18.6640625" bestFit="1" customWidth="1"/>
    <col min="5" max="5" width="11.77734375" bestFit="1" customWidth="1"/>
    <col min="6" max="6" width="11.44140625" customWidth="1"/>
    <col min="7" max="7" width="14" customWidth="1"/>
    <col min="8" max="8" width="20.44140625" customWidth="1"/>
  </cols>
  <sheetData>
    <row r="1" spans="1:8" ht="14.25" customHeight="1">
      <c r="A1" s="224" t="s">
        <v>56</v>
      </c>
      <c r="B1" s="225"/>
      <c r="C1" s="225"/>
      <c r="D1" s="225"/>
      <c r="E1" s="225"/>
      <c r="F1" s="220" t="s">
        <v>0</v>
      </c>
      <c r="G1" s="220"/>
      <c r="H1" s="73" t="s">
        <v>1</v>
      </c>
    </row>
    <row r="2" spans="1:8" ht="15" customHeight="1">
      <c r="A2" s="226"/>
      <c r="B2" s="227"/>
      <c r="C2" s="227"/>
      <c r="D2" s="227"/>
      <c r="E2" s="227"/>
      <c r="F2" s="223" t="s">
        <v>2</v>
      </c>
      <c r="G2" s="223"/>
      <c r="H2" s="74" t="s">
        <v>3</v>
      </c>
    </row>
    <row r="3" spans="1:8" ht="14.25" customHeight="1">
      <c r="A3" s="221" t="s">
        <v>57</v>
      </c>
      <c r="B3" s="222"/>
      <c r="C3" s="222"/>
      <c r="D3" s="222"/>
      <c r="E3" s="222"/>
      <c r="F3" s="223" t="s">
        <v>4</v>
      </c>
      <c r="G3" s="223"/>
      <c r="H3" s="74" t="s">
        <v>5</v>
      </c>
    </row>
    <row r="4" spans="1:8" ht="16.5" customHeight="1">
      <c r="A4" s="123" t="s">
        <v>86</v>
      </c>
      <c r="B4" s="124"/>
      <c r="C4" s="124"/>
      <c r="D4" s="124"/>
      <c r="E4" s="124"/>
      <c r="F4" s="209" t="s">
        <v>116</v>
      </c>
      <c r="G4" s="210"/>
      <c r="H4" s="75" t="s">
        <v>6</v>
      </c>
    </row>
    <row r="5" spans="1:8" ht="36.9" customHeight="1">
      <c r="A5" s="211" t="s">
        <v>112</v>
      </c>
      <c r="B5" s="212"/>
      <c r="C5" s="212"/>
      <c r="D5" s="213"/>
      <c r="E5" s="213"/>
      <c r="F5" s="214"/>
      <c r="G5" s="215" t="s">
        <v>58</v>
      </c>
      <c r="H5" s="216"/>
    </row>
    <row r="6" spans="1:8" ht="14.25" customHeight="1">
      <c r="A6" s="217" t="s">
        <v>7</v>
      </c>
      <c r="B6" s="217"/>
      <c r="C6" s="217"/>
      <c r="D6" s="71" t="s">
        <v>8</v>
      </c>
      <c r="E6" s="218" t="s">
        <v>144</v>
      </c>
      <c r="F6" s="219"/>
      <c r="G6" s="41" t="s">
        <v>9</v>
      </c>
      <c r="H6" s="42">
        <v>46233</v>
      </c>
    </row>
    <row r="7" spans="1:8" ht="11.25" customHeight="1">
      <c r="A7" s="208" t="s">
        <v>118</v>
      </c>
      <c r="B7" s="208"/>
      <c r="C7" s="208"/>
      <c r="D7" s="72" t="s">
        <v>10</v>
      </c>
      <c r="E7" s="202" t="s">
        <v>66</v>
      </c>
      <c r="F7" s="203"/>
      <c r="G7" s="43" t="s">
        <v>11</v>
      </c>
      <c r="H7" s="44">
        <v>6</v>
      </c>
    </row>
    <row r="8" spans="1:8" ht="11.25" customHeight="1">
      <c r="A8" s="197" t="s">
        <v>110</v>
      </c>
      <c r="B8" s="181"/>
      <c r="C8" s="204"/>
      <c r="D8" s="48" t="s">
        <v>13</v>
      </c>
      <c r="E8" s="205" t="s">
        <v>14</v>
      </c>
      <c r="F8" s="206"/>
      <c r="G8" s="206"/>
      <c r="H8" s="207"/>
    </row>
    <row r="9" spans="1:8" ht="11.25" customHeight="1">
      <c r="A9" s="197" t="s">
        <v>113</v>
      </c>
      <c r="B9" s="181"/>
      <c r="C9" s="181"/>
      <c r="D9" s="62"/>
      <c r="E9" s="161"/>
      <c r="F9" s="161"/>
      <c r="G9" s="161"/>
      <c r="H9" s="163"/>
    </row>
    <row r="10" spans="1:8" ht="12.9" customHeight="1">
      <c r="A10" s="197" t="s">
        <v>115</v>
      </c>
      <c r="B10" s="181"/>
      <c r="C10" s="181"/>
      <c r="D10" s="63" t="s">
        <v>17</v>
      </c>
      <c r="E10" s="198" t="s">
        <v>141</v>
      </c>
      <c r="F10" s="199"/>
      <c r="G10" s="199"/>
      <c r="H10" s="200"/>
    </row>
    <row r="11" spans="1:8" ht="11.25" customHeight="1">
      <c r="A11" s="184" t="s">
        <v>18</v>
      </c>
      <c r="B11" s="185"/>
      <c r="C11" s="59" t="s">
        <v>19</v>
      </c>
      <c r="D11" s="63" t="s">
        <v>20</v>
      </c>
      <c r="E11" s="199" t="s">
        <v>142</v>
      </c>
      <c r="F11" s="199"/>
      <c r="G11" s="199"/>
      <c r="H11" s="200"/>
    </row>
    <row r="12" spans="1:8" ht="12" customHeight="1">
      <c r="A12" s="159" t="s">
        <v>21</v>
      </c>
      <c r="B12" s="160"/>
      <c r="C12" s="60" t="s">
        <v>22</v>
      </c>
      <c r="D12" s="63" t="s">
        <v>23</v>
      </c>
      <c r="E12" s="161"/>
      <c r="F12" s="201"/>
      <c r="G12" s="46" t="s">
        <v>24</v>
      </c>
      <c r="H12" s="47">
        <v>4</v>
      </c>
    </row>
    <row r="13" spans="1:8" ht="11.25" customHeight="1">
      <c r="A13" s="186" t="s">
        <v>25</v>
      </c>
      <c r="B13" s="187"/>
      <c r="C13" s="187"/>
      <c r="D13" s="64" t="s">
        <v>26</v>
      </c>
      <c r="E13" s="188" t="s">
        <v>59</v>
      </c>
      <c r="F13" s="189"/>
      <c r="G13" s="189"/>
      <c r="H13" s="190"/>
    </row>
    <row r="14" spans="1:8" ht="11.25" customHeight="1">
      <c r="A14" s="194" t="s">
        <v>118</v>
      </c>
      <c r="B14" s="195"/>
      <c r="C14" s="196"/>
      <c r="D14" s="64" t="s">
        <v>27</v>
      </c>
      <c r="E14" s="191" t="s">
        <v>119</v>
      </c>
      <c r="F14" s="191"/>
      <c r="G14" s="191"/>
      <c r="H14" s="192"/>
    </row>
    <row r="15" spans="1:8" ht="11.25" customHeight="1">
      <c r="A15" s="180" t="s">
        <v>12</v>
      </c>
      <c r="B15" s="181"/>
      <c r="C15" s="181"/>
      <c r="D15" s="64" t="s">
        <v>28</v>
      </c>
      <c r="E15" s="189" t="s">
        <v>29</v>
      </c>
      <c r="F15" s="189"/>
      <c r="G15" s="193"/>
      <c r="H15" s="190"/>
    </row>
    <row r="16" spans="1:8" ht="11.25" customHeight="1">
      <c r="A16" s="180" t="s">
        <v>15</v>
      </c>
      <c r="B16" s="181"/>
      <c r="C16" s="181"/>
      <c r="D16" s="64" t="s">
        <v>30</v>
      </c>
      <c r="E16" s="182" t="s">
        <v>87</v>
      </c>
      <c r="F16" s="183"/>
      <c r="G16" s="70"/>
      <c r="H16" s="68"/>
    </row>
    <row r="17" spans="1:8" ht="11.25" customHeight="1">
      <c r="A17" s="180" t="s">
        <v>16</v>
      </c>
      <c r="B17" s="181"/>
      <c r="C17" s="181"/>
      <c r="D17" s="64" t="s">
        <v>31</v>
      </c>
      <c r="E17" s="183" t="s">
        <v>145</v>
      </c>
      <c r="F17" s="183"/>
      <c r="G17" s="70"/>
      <c r="H17" s="68"/>
    </row>
    <row r="18" spans="1:8" ht="11.25" customHeight="1">
      <c r="A18" s="184" t="s">
        <v>18</v>
      </c>
      <c r="B18" s="185"/>
      <c r="C18" s="59" t="s">
        <v>19</v>
      </c>
      <c r="D18" s="62"/>
      <c r="E18" s="161"/>
      <c r="F18" s="161"/>
      <c r="G18" s="69"/>
      <c r="H18" s="68"/>
    </row>
    <row r="19" spans="1:8" ht="12" customHeight="1">
      <c r="A19" s="159" t="s">
        <v>21</v>
      </c>
      <c r="B19" s="160"/>
      <c r="C19" s="60" t="s">
        <v>22</v>
      </c>
      <c r="D19" s="65" t="s">
        <v>32</v>
      </c>
      <c r="E19" s="161"/>
      <c r="F19" s="161"/>
      <c r="G19" s="162"/>
      <c r="H19" s="163"/>
    </row>
    <row r="20" spans="1:8" ht="12" customHeight="1">
      <c r="A20" s="164" t="s">
        <v>33</v>
      </c>
      <c r="B20" s="165"/>
      <c r="C20" s="45" t="s">
        <v>34</v>
      </c>
      <c r="D20" s="61" t="s">
        <v>35</v>
      </c>
      <c r="E20" s="40" t="s">
        <v>111</v>
      </c>
      <c r="F20" s="49" t="s">
        <v>36</v>
      </c>
      <c r="G20" s="50" t="s">
        <v>37</v>
      </c>
      <c r="H20" s="51" t="s">
        <v>38</v>
      </c>
    </row>
    <row r="21" spans="1:8" ht="12.75" customHeight="1">
      <c r="A21" s="166">
        <v>1</v>
      </c>
      <c r="B21" s="167"/>
      <c r="C21" s="82" t="s">
        <v>117</v>
      </c>
      <c r="D21" s="79">
        <v>440110</v>
      </c>
      <c r="E21" s="52">
        <v>27</v>
      </c>
      <c r="F21" s="170" t="s">
        <v>39</v>
      </c>
      <c r="G21" s="173"/>
      <c r="H21" s="174">
        <v>0</v>
      </c>
    </row>
    <row r="22" spans="1:8" ht="210" customHeight="1">
      <c r="A22" s="168"/>
      <c r="B22" s="169"/>
      <c r="C22" s="83"/>
      <c r="D22" s="80"/>
      <c r="E22" s="149"/>
      <c r="F22" s="171"/>
      <c r="G22" s="149"/>
      <c r="H22" s="175"/>
    </row>
    <row r="23" spans="1:8" ht="12.75" customHeight="1">
      <c r="A23" s="176" t="s">
        <v>40</v>
      </c>
      <c r="B23" s="177"/>
      <c r="C23" s="178"/>
      <c r="D23" s="80"/>
      <c r="E23" s="149"/>
      <c r="F23" s="171"/>
      <c r="G23" s="149"/>
      <c r="H23" s="54">
        <v>0</v>
      </c>
    </row>
    <row r="24" spans="1:8" ht="12.75" customHeight="1">
      <c r="A24" s="156" t="s">
        <v>60</v>
      </c>
      <c r="B24" s="154"/>
      <c r="C24" s="155"/>
      <c r="D24" s="80"/>
      <c r="E24" s="150"/>
      <c r="F24" s="172"/>
      <c r="G24" s="150"/>
      <c r="H24" s="55"/>
    </row>
    <row r="25" spans="1:8" ht="12.75" customHeight="1">
      <c r="A25" s="156" t="s">
        <v>61</v>
      </c>
      <c r="B25" s="154"/>
      <c r="C25" s="155"/>
      <c r="D25" s="80"/>
      <c r="E25" s="179" t="s">
        <v>41</v>
      </c>
      <c r="F25" s="177"/>
      <c r="G25" s="178"/>
      <c r="H25" s="56">
        <v>0</v>
      </c>
    </row>
    <row r="26" spans="1:8" ht="12.75" customHeight="1">
      <c r="A26" s="156" t="s">
        <v>62</v>
      </c>
      <c r="B26" s="154"/>
      <c r="C26" s="155"/>
      <c r="D26" s="80"/>
      <c r="E26" s="153" t="s">
        <v>42</v>
      </c>
      <c r="F26" s="154"/>
      <c r="G26" s="155"/>
      <c r="H26" s="56">
        <v>0</v>
      </c>
    </row>
    <row r="27" spans="1:8" ht="12.75" customHeight="1">
      <c r="A27" s="156" t="s">
        <v>63</v>
      </c>
      <c r="B27" s="154"/>
      <c r="C27" s="155"/>
      <c r="D27" s="80"/>
      <c r="E27" s="153" t="s">
        <v>43</v>
      </c>
      <c r="F27" s="154"/>
      <c r="G27" s="155"/>
      <c r="H27" s="56">
        <v>0</v>
      </c>
    </row>
    <row r="28" spans="1:8" ht="12.75" customHeight="1">
      <c r="A28" s="156" t="s">
        <v>64</v>
      </c>
      <c r="B28" s="154"/>
      <c r="C28" s="155"/>
      <c r="D28" s="80"/>
      <c r="E28" s="153" t="s">
        <v>44</v>
      </c>
      <c r="F28" s="154"/>
      <c r="G28" s="57"/>
      <c r="H28" s="56">
        <v>0</v>
      </c>
    </row>
    <row r="29" spans="1:8" ht="36.9" customHeight="1">
      <c r="A29" s="147"/>
      <c r="B29" s="148"/>
      <c r="C29" s="8"/>
      <c r="D29" s="81"/>
      <c r="E29" s="157" t="s">
        <v>45</v>
      </c>
      <c r="F29" s="158"/>
      <c r="G29" s="9"/>
      <c r="H29" s="53">
        <v>0</v>
      </c>
    </row>
    <row r="30" spans="1:8" ht="14.25" customHeight="1">
      <c r="A30" s="140"/>
      <c r="B30" s="141"/>
      <c r="C30" s="1"/>
      <c r="D30" s="1"/>
      <c r="E30" s="1"/>
      <c r="F30" s="142" t="s">
        <v>46</v>
      </c>
      <c r="G30" s="143"/>
      <c r="H30" s="10">
        <v>0</v>
      </c>
    </row>
    <row r="31" spans="1:8" ht="14.25" customHeight="1">
      <c r="A31" s="144"/>
      <c r="B31" s="145"/>
      <c r="C31" s="146"/>
      <c r="D31" s="149"/>
      <c r="E31" s="2" t="s">
        <v>47</v>
      </c>
      <c r="F31" s="3">
        <v>0</v>
      </c>
      <c r="G31" s="4">
        <v>0</v>
      </c>
      <c r="H31" s="11">
        <v>0</v>
      </c>
    </row>
    <row r="32" spans="1:8" ht="14.25" customHeight="1">
      <c r="A32" s="144"/>
      <c r="B32" s="145"/>
      <c r="C32" s="146"/>
      <c r="D32" s="149"/>
      <c r="E32" s="2" t="s">
        <v>48</v>
      </c>
      <c r="F32" s="3">
        <v>0</v>
      </c>
      <c r="G32" s="4">
        <v>0</v>
      </c>
      <c r="H32" s="11">
        <v>0</v>
      </c>
    </row>
    <row r="33" spans="1:8" ht="14.25" customHeight="1">
      <c r="A33" s="144"/>
      <c r="B33" s="145"/>
      <c r="C33" s="146"/>
      <c r="D33" s="149"/>
      <c r="E33" s="2" t="s">
        <v>49</v>
      </c>
      <c r="F33" s="3">
        <v>0.05</v>
      </c>
      <c r="G33" s="4">
        <v>0</v>
      </c>
      <c r="H33" s="11">
        <v>0</v>
      </c>
    </row>
    <row r="34" spans="1:8" ht="15" customHeight="1">
      <c r="A34" s="147"/>
      <c r="B34" s="132"/>
      <c r="C34" s="148"/>
      <c r="D34" s="150"/>
      <c r="E34" s="5"/>
      <c r="F34" s="151" t="s">
        <v>50</v>
      </c>
      <c r="G34" s="152"/>
      <c r="H34" s="12" t="s">
        <v>51</v>
      </c>
    </row>
    <row r="35" spans="1:8" ht="24.9" customHeight="1">
      <c r="A35" s="125"/>
      <c r="B35" s="126"/>
      <c r="C35" s="127"/>
      <c r="D35" s="128"/>
      <c r="E35" s="129"/>
      <c r="F35" s="129"/>
      <c r="G35" s="129"/>
      <c r="H35" s="130"/>
    </row>
    <row r="36" spans="1:8" ht="29.25" customHeight="1">
      <c r="A36" s="134" t="s">
        <v>52</v>
      </c>
      <c r="B36" s="135"/>
      <c r="C36" s="136"/>
      <c r="D36" s="131"/>
      <c r="E36" s="132"/>
      <c r="F36" s="132"/>
      <c r="G36" s="132"/>
      <c r="H36" s="133"/>
    </row>
    <row r="37" spans="1:8" ht="12.75" customHeight="1">
      <c r="A37" s="137" t="s">
        <v>53</v>
      </c>
      <c r="B37" s="138"/>
      <c r="C37" s="139"/>
      <c r="D37" s="6"/>
      <c r="E37" s="7"/>
      <c r="F37" s="121" t="s">
        <v>65</v>
      </c>
      <c r="G37" s="121"/>
      <c r="H37" s="122"/>
    </row>
    <row r="38" spans="1:8" ht="43.5" customHeight="1" thickBot="1">
      <c r="A38" s="115" t="s">
        <v>54</v>
      </c>
      <c r="B38" s="116"/>
      <c r="C38" s="117"/>
      <c r="D38" s="13"/>
      <c r="E38" s="14"/>
      <c r="F38" s="14"/>
      <c r="G38" s="118" t="s">
        <v>55</v>
      </c>
      <c r="H38" s="119"/>
    </row>
    <row r="39" spans="1:8" ht="11.25" customHeight="1">
      <c r="A39" s="120" t="s">
        <v>67</v>
      </c>
      <c r="B39" s="120"/>
      <c r="C39" s="120"/>
      <c r="D39" s="120"/>
      <c r="E39" s="120"/>
      <c r="F39" s="120"/>
      <c r="G39" s="120"/>
      <c r="H39" s="120"/>
    </row>
  </sheetData>
  <mergeCells count="68">
    <mergeCell ref="F1:G1"/>
    <mergeCell ref="A3:E3"/>
    <mergeCell ref="F2:G2"/>
    <mergeCell ref="F3:G3"/>
    <mergeCell ref="A1:E2"/>
    <mergeCell ref="F4:G4"/>
    <mergeCell ref="A5:F5"/>
    <mergeCell ref="G5:H5"/>
    <mergeCell ref="A6:C6"/>
    <mergeCell ref="E6:F6"/>
    <mergeCell ref="E7:F7"/>
    <mergeCell ref="A8:C8"/>
    <mergeCell ref="E8:H8"/>
    <mergeCell ref="A9:C9"/>
    <mergeCell ref="E9:H9"/>
    <mergeCell ref="A7:C7"/>
    <mergeCell ref="A10:C10"/>
    <mergeCell ref="E10:H10"/>
    <mergeCell ref="A11:B11"/>
    <mergeCell ref="E11:H11"/>
    <mergeCell ref="A12:B12"/>
    <mergeCell ref="E12:F12"/>
    <mergeCell ref="A13:C13"/>
    <mergeCell ref="E13:H13"/>
    <mergeCell ref="E14:H14"/>
    <mergeCell ref="A15:C15"/>
    <mergeCell ref="E15:H15"/>
    <mergeCell ref="A14:C14"/>
    <mergeCell ref="E26:G26"/>
    <mergeCell ref="A27:C27"/>
    <mergeCell ref="A16:C16"/>
    <mergeCell ref="E16:F16"/>
    <mergeCell ref="A17:C17"/>
    <mergeCell ref="E17:F17"/>
    <mergeCell ref="A18:B18"/>
    <mergeCell ref="E18:F18"/>
    <mergeCell ref="E28:F28"/>
    <mergeCell ref="A29:B29"/>
    <mergeCell ref="E29:F29"/>
    <mergeCell ref="A19:B19"/>
    <mergeCell ref="E19:H19"/>
    <mergeCell ref="A20:B20"/>
    <mergeCell ref="A21:B22"/>
    <mergeCell ref="F21:F24"/>
    <mergeCell ref="G21:G24"/>
    <mergeCell ref="H21:H22"/>
    <mergeCell ref="E22:E24"/>
    <mergeCell ref="A23:C23"/>
    <mergeCell ref="A24:C24"/>
    <mergeCell ref="A25:C25"/>
    <mergeCell ref="E25:G25"/>
    <mergeCell ref="A26:C26"/>
    <mergeCell ref="A38:C38"/>
    <mergeCell ref="G38:H38"/>
    <mergeCell ref="A39:H39"/>
    <mergeCell ref="F37:H37"/>
    <mergeCell ref="A4:E4"/>
    <mergeCell ref="A35:C35"/>
    <mergeCell ref="D35:H36"/>
    <mergeCell ref="A36:C36"/>
    <mergeCell ref="A37:C37"/>
    <mergeCell ref="A30:B30"/>
    <mergeCell ref="F30:G30"/>
    <mergeCell ref="A31:C34"/>
    <mergeCell ref="D31:D34"/>
    <mergeCell ref="F34:G34"/>
    <mergeCell ref="E27:G27"/>
    <mergeCell ref="A28:C28"/>
  </mergeCells>
  <hyperlinks>
    <hyperlink ref="A4" r:id="rId1" display="mailto:EMAIL-sanjaybiofuel@gmail.com" xr:uid="{00000000-0004-0000-0000-000000000000}"/>
  </hyperlinks>
  <pageMargins left="0.7" right="0.7" top="0.75" bottom="0.75" header="0.3" footer="0.3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view="pageBreakPreview" zoomScale="92" zoomScaleNormal="100" zoomScaleSheetLayoutView="115" workbookViewId="0">
      <selection activeCell="F13" sqref="F13"/>
    </sheetView>
  </sheetViews>
  <sheetFormatPr defaultColWidth="9.33203125" defaultRowHeight="13.2"/>
  <cols>
    <col min="1" max="1" width="2.44140625" style="15" bestFit="1" customWidth="1"/>
    <col min="2" max="2" width="20.77734375" style="15" customWidth="1"/>
    <col min="3" max="3" width="24.44140625" style="15" customWidth="1"/>
    <col min="4" max="4" width="11.44140625" style="15" customWidth="1"/>
    <col min="5" max="5" width="24.44140625" style="15" customWidth="1"/>
    <col min="6" max="6" width="29.109375" style="15" customWidth="1"/>
    <col min="7" max="7" width="14" style="15" customWidth="1"/>
    <col min="8" max="16384" width="9.33203125" style="15"/>
  </cols>
  <sheetData>
    <row r="1" spans="1:7" ht="53.25" customHeight="1">
      <c r="A1" s="259" t="s">
        <v>89</v>
      </c>
      <c r="B1" s="260"/>
      <c r="C1" s="260"/>
      <c r="D1" s="260"/>
      <c r="E1" s="260"/>
      <c r="F1" s="261"/>
      <c r="G1" s="21"/>
    </row>
    <row r="2" spans="1:7" ht="21" customHeight="1">
      <c r="A2" s="262" t="s">
        <v>90</v>
      </c>
      <c r="B2" s="263"/>
      <c r="C2" s="263"/>
      <c r="D2" s="263"/>
      <c r="E2" s="263"/>
      <c r="F2" s="264"/>
      <c r="G2" s="19"/>
    </row>
    <row r="3" spans="1:7" ht="21" customHeight="1">
      <c r="A3" s="262" t="s">
        <v>91</v>
      </c>
      <c r="B3" s="263"/>
      <c r="C3" s="263"/>
      <c r="D3" s="263"/>
      <c r="E3" s="263"/>
      <c r="F3" s="264"/>
      <c r="G3" s="19"/>
    </row>
    <row r="4" spans="1:7" ht="21" customHeight="1">
      <c r="A4" s="262" t="s">
        <v>92</v>
      </c>
      <c r="B4" s="263"/>
      <c r="C4" s="263"/>
      <c r="D4" s="263"/>
      <c r="E4" s="263"/>
      <c r="F4" s="264"/>
      <c r="G4" s="19"/>
    </row>
    <row r="5" spans="1:7" ht="21" customHeight="1">
      <c r="A5" s="262" t="s">
        <v>93</v>
      </c>
      <c r="B5" s="263"/>
      <c r="C5" s="263"/>
      <c r="D5" s="263"/>
      <c r="E5" s="263"/>
      <c r="F5" s="264"/>
      <c r="G5" s="19"/>
    </row>
    <row r="6" spans="1:7" ht="21" customHeight="1">
      <c r="A6" s="30">
        <v>1</v>
      </c>
      <c r="B6" s="243" t="s">
        <v>94</v>
      </c>
      <c r="C6" s="244"/>
      <c r="D6" s="16"/>
      <c r="E6" s="251" t="s">
        <v>56</v>
      </c>
      <c r="F6" s="252"/>
      <c r="G6" s="19"/>
    </row>
    <row r="7" spans="1:7" ht="20.100000000000001" customHeight="1">
      <c r="A7" s="30">
        <v>2</v>
      </c>
      <c r="B7" s="243" t="s">
        <v>95</v>
      </c>
      <c r="C7" s="244"/>
      <c r="D7" s="16"/>
      <c r="E7" s="251" t="s">
        <v>66</v>
      </c>
      <c r="F7" s="252"/>
      <c r="G7" s="19"/>
    </row>
    <row r="8" spans="1:7" ht="20.100000000000001" customHeight="1">
      <c r="A8" s="30">
        <v>3</v>
      </c>
      <c r="B8" s="243" t="s">
        <v>96</v>
      </c>
      <c r="C8" s="244"/>
      <c r="D8" s="16"/>
      <c r="E8" s="253">
        <f>'Table 1'!H6</f>
        <v>46233</v>
      </c>
      <c r="F8" s="254"/>
      <c r="G8" s="19"/>
    </row>
    <row r="9" spans="1:7" ht="21" customHeight="1">
      <c r="A9" s="30">
        <v>4</v>
      </c>
      <c r="B9" s="243" t="s">
        <v>97</v>
      </c>
      <c r="C9" s="244"/>
      <c r="D9" s="16"/>
      <c r="E9" s="255" t="str">
        <f>'Table 1 (2)'!D8</f>
        <v>BI/NTPC/MOU/089</v>
      </c>
      <c r="F9" s="256"/>
      <c r="G9" s="19"/>
    </row>
    <row r="10" spans="1:7" ht="20.100000000000001" customHeight="1">
      <c r="A10" s="30">
        <v>5</v>
      </c>
      <c r="B10" s="243" t="s">
        <v>98</v>
      </c>
      <c r="C10" s="244"/>
      <c r="D10" s="16"/>
      <c r="E10" s="257" t="str">
        <f>'Table 1 (2)'!D10</f>
        <v>MH40BG9225</v>
      </c>
      <c r="F10" s="258"/>
      <c r="G10" s="19"/>
    </row>
    <row r="11" spans="1:7" ht="20.100000000000001" customHeight="1">
      <c r="A11" s="228">
        <v>6</v>
      </c>
      <c r="B11" s="231" t="s">
        <v>99</v>
      </c>
      <c r="C11" s="232"/>
      <c r="D11" s="237" t="s">
        <v>100</v>
      </c>
      <c r="E11" s="76" t="s">
        <v>121</v>
      </c>
      <c r="F11" s="31">
        <v>40900</v>
      </c>
      <c r="G11" s="19"/>
    </row>
    <row r="12" spans="1:7" ht="20.100000000000001" customHeight="1">
      <c r="A12" s="229"/>
      <c r="B12" s="233"/>
      <c r="C12" s="234"/>
      <c r="D12" s="238"/>
      <c r="E12" s="76" t="s">
        <v>122</v>
      </c>
      <c r="F12" s="31">
        <v>13900</v>
      </c>
      <c r="G12" s="19"/>
    </row>
    <row r="13" spans="1:7" ht="21" customHeight="1">
      <c r="A13" s="230"/>
      <c r="B13" s="235"/>
      <c r="C13" s="236"/>
      <c r="D13" s="239"/>
      <c r="E13" s="76" t="s">
        <v>123</v>
      </c>
      <c r="F13" s="67">
        <f>F11-F12</f>
        <v>27000</v>
      </c>
      <c r="G13" s="19"/>
    </row>
    <row r="14" spans="1:7" ht="20.100000000000001" customHeight="1">
      <c r="A14" s="30">
        <v>7</v>
      </c>
      <c r="B14" s="243" t="s">
        <v>101</v>
      </c>
      <c r="C14" s="244"/>
      <c r="D14" s="16"/>
      <c r="E14" s="245" t="s">
        <v>124</v>
      </c>
      <c r="F14" s="246"/>
      <c r="G14" s="19"/>
    </row>
    <row r="15" spans="1:7" ht="20.100000000000001" customHeight="1">
      <c r="A15" s="30">
        <v>8</v>
      </c>
      <c r="B15" s="243" t="s">
        <v>101</v>
      </c>
      <c r="C15" s="244"/>
      <c r="D15" s="16"/>
      <c r="E15" s="245" t="s">
        <v>124</v>
      </c>
      <c r="F15" s="246"/>
      <c r="G15" s="19"/>
    </row>
    <row r="16" spans="1:7" ht="21" customHeight="1">
      <c r="A16" s="247" t="s">
        <v>125</v>
      </c>
      <c r="B16" s="248"/>
      <c r="C16" s="248"/>
      <c r="D16" s="248"/>
      <c r="E16" s="248"/>
      <c r="F16" s="246"/>
      <c r="G16" s="19"/>
    </row>
    <row r="17" spans="1:7" ht="20.100000000000001" customHeight="1">
      <c r="A17" s="32">
        <v>1</v>
      </c>
      <c r="B17" s="249" t="s">
        <v>102</v>
      </c>
      <c r="C17" s="250"/>
      <c r="D17" s="16"/>
      <c r="E17" s="240" t="s">
        <v>126</v>
      </c>
      <c r="F17" s="242"/>
      <c r="G17" s="19"/>
    </row>
    <row r="18" spans="1:7" ht="20.100000000000001" customHeight="1">
      <c r="A18" s="32">
        <v>2</v>
      </c>
      <c r="B18" s="249" t="s">
        <v>103</v>
      </c>
      <c r="C18" s="250"/>
      <c r="D18" s="16"/>
      <c r="E18" s="240" t="s">
        <v>127</v>
      </c>
      <c r="F18" s="242"/>
      <c r="G18" s="19"/>
    </row>
    <row r="19" spans="1:7" ht="20.100000000000001" customHeight="1">
      <c r="A19" s="32">
        <v>3</v>
      </c>
      <c r="B19" s="249" t="s">
        <v>104</v>
      </c>
      <c r="C19" s="250"/>
      <c r="D19" s="16"/>
      <c r="E19" s="240" t="s">
        <v>128</v>
      </c>
      <c r="F19" s="242"/>
      <c r="G19" s="19"/>
    </row>
    <row r="20" spans="1:7" ht="21" customHeight="1">
      <c r="A20" s="32">
        <v>4</v>
      </c>
      <c r="B20" s="249" t="s">
        <v>105</v>
      </c>
      <c r="C20" s="250"/>
      <c r="D20" s="16"/>
      <c r="E20" s="240" t="s">
        <v>129</v>
      </c>
      <c r="F20" s="242"/>
      <c r="G20" s="19"/>
    </row>
    <row r="21" spans="1:7" ht="20.100000000000001" customHeight="1">
      <c r="A21" s="33" t="s">
        <v>106</v>
      </c>
      <c r="B21" s="249"/>
      <c r="C21" s="241"/>
      <c r="D21" s="241"/>
      <c r="E21" s="241"/>
      <c r="F21" s="242"/>
      <c r="G21" s="19"/>
    </row>
    <row r="22" spans="1:7" ht="36" customHeight="1">
      <c r="A22" s="34" t="s">
        <v>107</v>
      </c>
      <c r="B22" s="240" t="s">
        <v>130</v>
      </c>
      <c r="C22" s="241"/>
      <c r="D22" s="241"/>
      <c r="E22" s="241"/>
      <c r="F22" s="242"/>
      <c r="G22" s="20"/>
    </row>
    <row r="23" spans="1:7" ht="20.399999999999999" customHeight="1" thickBot="1">
      <c r="A23" s="35" t="s">
        <v>108</v>
      </c>
      <c r="B23" s="36">
        <f>E8</f>
        <v>46233</v>
      </c>
      <c r="C23" s="37" t="s">
        <v>109</v>
      </c>
      <c r="D23" s="38"/>
      <c r="E23" s="38"/>
      <c r="F23" s="39"/>
      <c r="G23" s="19"/>
    </row>
    <row r="24" spans="1:7" ht="44.1" customHeight="1"/>
  </sheetData>
  <mergeCells count="33">
    <mergeCell ref="A1:F1"/>
    <mergeCell ref="A2:F2"/>
    <mergeCell ref="A3:F3"/>
    <mergeCell ref="A4:F4"/>
    <mergeCell ref="A5:F5"/>
    <mergeCell ref="B6:C6"/>
    <mergeCell ref="E6:F6"/>
    <mergeCell ref="B14:C14"/>
    <mergeCell ref="E14:F14"/>
    <mergeCell ref="B7:C7"/>
    <mergeCell ref="E7:F7"/>
    <mergeCell ref="B8:C8"/>
    <mergeCell ref="E8:F8"/>
    <mergeCell ref="B9:C9"/>
    <mergeCell ref="E9:F9"/>
    <mergeCell ref="B10:C10"/>
    <mergeCell ref="E10:F10"/>
    <mergeCell ref="A11:A13"/>
    <mergeCell ref="B11:C13"/>
    <mergeCell ref="D11:D13"/>
    <mergeCell ref="B22:F22"/>
    <mergeCell ref="B15:C15"/>
    <mergeCell ref="E15:F15"/>
    <mergeCell ref="A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F21"/>
  </mergeCells>
  <pageMargins left="0.7" right="0.7" top="0.75" bottom="0.75" header="0.3" footer="0.3"/>
  <pageSetup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view="pageBreakPreview" topLeftCell="A7" zoomScale="115" zoomScaleNormal="100" zoomScaleSheetLayoutView="115" workbookViewId="0">
      <selection activeCell="D11" sqref="D11"/>
    </sheetView>
  </sheetViews>
  <sheetFormatPr defaultColWidth="9.33203125" defaultRowHeight="13.2"/>
  <cols>
    <col min="1" max="1" width="16.109375" style="15" customWidth="1"/>
    <col min="2" max="2" width="31.33203125" style="15" customWidth="1"/>
    <col min="3" max="3" width="39.44140625" style="15" customWidth="1"/>
    <col min="4" max="4" width="26.6640625" style="15" customWidth="1"/>
    <col min="5" max="16384" width="9.33203125" style="15"/>
  </cols>
  <sheetData>
    <row r="1" spans="1:7" ht="29.25" customHeight="1">
      <c r="A1" s="101" t="s">
        <v>56</v>
      </c>
      <c r="B1" s="102"/>
      <c r="C1" s="102"/>
      <c r="D1" s="103"/>
    </row>
    <row r="2" spans="1:7" ht="14.1" customHeight="1">
      <c r="A2" s="104" t="s">
        <v>68</v>
      </c>
      <c r="B2" s="105"/>
      <c r="C2" s="105"/>
      <c r="D2" s="106"/>
    </row>
    <row r="3" spans="1:7" ht="14.1" customHeight="1">
      <c r="A3" s="104" t="s">
        <v>69</v>
      </c>
      <c r="B3" s="105"/>
      <c r="C3" s="105"/>
      <c r="D3" s="106"/>
    </row>
    <row r="4" spans="1:7" ht="26.1" customHeight="1">
      <c r="A4" s="107" t="s">
        <v>70</v>
      </c>
      <c r="B4" s="108"/>
      <c r="C4" s="108"/>
      <c r="D4" s="109"/>
    </row>
    <row r="5" spans="1:7" ht="14.1" customHeight="1">
      <c r="A5" s="110" t="s">
        <v>71</v>
      </c>
      <c r="B5" s="111"/>
      <c r="C5" s="112"/>
      <c r="D5" s="22"/>
    </row>
    <row r="6" spans="1:7" ht="21" customHeight="1">
      <c r="A6" s="92" t="s">
        <v>131</v>
      </c>
      <c r="B6" s="93"/>
      <c r="C6" s="78" t="s">
        <v>137</v>
      </c>
      <c r="D6" s="23" t="str">
        <f t="array" ref="D6:E6">'Table 1'!E6:F6</f>
        <v>BI/NTPC/MOU/089</v>
      </c>
      <c r="E6" s="15">
        <v>0</v>
      </c>
    </row>
    <row r="7" spans="1:7" ht="24" customHeight="1">
      <c r="A7" s="92" t="s">
        <v>132</v>
      </c>
      <c r="B7" s="93"/>
      <c r="C7" s="78" t="s">
        <v>138</v>
      </c>
      <c r="D7" s="24" t="str">
        <f t="array" ref="D7:E7">'Table 1'!E17:F17</f>
        <v>3923 0220 3448</v>
      </c>
      <c r="E7" s="15">
        <v>0</v>
      </c>
    </row>
    <row r="8" spans="1:7" ht="21" customHeight="1">
      <c r="A8" s="92" t="s">
        <v>133</v>
      </c>
      <c r="B8" s="93"/>
      <c r="C8" s="78" t="s">
        <v>139</v>
      </c>
      <c r="D8" s="23" t="str">
        <f t="array" ref="D8:E8">'Table 1'!E6:F6</f>
        <v>BI/NTPC/MOU/089</v>
      </c>
      <c r="E8" s="15">
        <v>0</v>
      </c>
    </row>
    <row r="9" spans="1:7" ht="24.9" customHeight="1">
      <c r="A9" s="92" t="s">
        <v>134</v>
      </c>
      <c r="B9" s="93"/>
      <c r="C9" s="78" t="s">
        <v>140</v>
      </c>
      <c r="D9" s="25">
        <f>'Table 1'!H6</f>
        <v>46233</v>
      </c>
    </row>
    <row r="10" spans="1:7" ht="18.899999999999999" customHeight="1">
      <c r="A10" s="92" t="s">
        <v>135</v>
      </c>
      <c r="B10" s="93"/>
      <c r="C10" s="17" t="s">
        <v>72</v>
      </c>
      <c r="D10" s="24" t="str">
        <f t="array" ref="D10:G10">'Table 1'!E11:H11</f>
        <v>MH40BG9225</v>
      </c>
      <c r="E10" s="15">
        <v>0</v>
      </c>
      <c r="F10" s="15">
        <v>0</v>
      </c>
      <c r="G10" s="15">
        <v>0</v>
      </c>
    </row>
    <row r="11" spans="1:7" ht="15" customHeight="1">
      <c r="A11" s="113"/>
      <c r="B11" s="114"/>
      <c r="C11" s="17" t="s">
        <v>73</v>
      </c>
      <c r="D11" s="23">
        <v>8459017952</v>
      </c>
    </row>
    <row r="12" spans="1:7">
      <c r="A12" s="92" t="s">
        <v>136</v>
      </c>
      <c r="B12" s="93"/>
      <c r="C12" s="17" t="s">
        <v>74</v>
      </c>
      <c r="D12" s="24" t="str">
        <f t="array" ref="D12:G12">'Table 1'!E10:H10</f>
        <v>PIYUSH TRANSPORT</v>
      </c>
      <c r="E12" s="15">
        <v>0</v>
      </c>
      <c r="F12" s="15">
        <v>0</v>
      </c>
      <c r="G12" s="15">
        <v>0</v>
      </c>
    </row>
    <row r="13" spans="1:7" ht="21" customHeight="1">
      <c r="A13" s="92" t="s">
        <v>75</v>
      </c>
      <c r="B13" s="93"/>
      <c r="C13" s="17" t="s">
        <v>76</v>
      </c>
      <c r="D13" s="24" t="s">
        <v>143</v>
      </c>
    </row>
    <row r="14" spans="1:7" ht="21" customHeight="1">
      <c r="A14" s="92" t="s">
        <v>88</v>
      </c>
      <c r="B14" s="93"/>
      <c r="C14" s="17" t="s">
        <v>77</v>
      </c>
      <c r="D14" s="26" t="s">
        <v>78</v>
      </c>
    </row>
    <row r="15" spans="1:7" ht="21.9" customHeight="1">
      <c r="A15" s="94" t="s">
        <v>79</v>
      </c>
      <c r="B15" s="93"/>
      <c r="C15" s="18"/>
      <c r="D15" s="27"/>
    </row>
    <row r="16" spans="1:7" ht="24.9" customHeight="1">
      <c r="A16" s="28" t="s">
        <v>80</v>
      </c>
      <c r="B16" s="95" t="s">
        <v>81</v>
      </c>
      <c r="C16" s="96"/>
      <c r="D16" s="77" t="s">
        <v>82</v>
      </c>
    </row>
    <row r="17" spans="1:4" ht="42.9" customHeight="1">
      <c r="A17" s="29">
        <v>1</v>
      </c>
      <c r="B17" s="97" t="s">
        <v>83</v>
      </c>
      <c r="C17" s="98"/>
      <c r="D17" s="58">
        <f>'Table 1'!E21</f>
        <v>27</v>
      </c>
    </row>
    <row r="18" spans="1:4" ht="24" customHeight="1">
      <c r="A18" s="99" t="s">
        <v>84</v>
      </c>
      <c r="B18" s="100"/>
      <c r="C18" s="98"/>
      <c r="D18" s="66">
        <f>'Table 1'!E21</f>
        <v>27</v>
      </c>
    </row>
    <row r="19" spans="1:4" ht="35.1" customHeight="1">
      <c r="A19" s="84" t="s">
        <v>114</v>
      </c>
      <c r="B19" s="85"/>
      <c r="C19" s="88" t="s">
        <v>85</v>
      </c>
      <c r="D19" s="89"/>
    </row>
    <row r="20" spans="1:4" ht="30.75" customHeight="1" thickBot="1">
      <c r="A20" s="86"/>
      <c r="B20" s="87"/>
      <c r="C20" s="90" t="s">
        <v>120</v>
      </c>
      <c r="D20" s="91"/>
    </row>
  </sheetData>
  <mergeCells count="21">
    <mergeCell ref="A12:B12"/>
    <mergeCell ref="A1:D1"/>
    <mergeCell ref="A2:D2"/>
    <mergeCell ref="A3:D3"/>
    <mergeCell ref="A4:D4"/>
    <mergeCell ref="A5:C5"/>
    <mergeCell ref="A6:B6"/>
    <mergeCell ref="A7:B7"/>
    <mergeCell ref="A8:B8"/>
    <mergeCell ref="A9:B9"/>
    <mergeCell ref="A10:B10"/>
    <mergeCell ref="A11:B11"/>
    <mergeCell ref="A19:B20"/>
    <mergeCell ref="C19:D19"/>
    <mergeCell ref="C20:D20"/>
    <mergeCell ref="A13:B13"/>
    <mergeCell ref="A14:B14"/>
    <mergeCell ref="A15:B15"/>
    <mergeCell ref="B16:C16"/>
    <mergeCell ref="B17:C17"/>
    <mergeCell ref="A18:C18"/>
  </mergeCells>
  <hyperlinks>
    <hyperlink ref="A3" r:id="rId1" display="mailto:EMAIL-sanjaybiofuel@gmail.com" xr:uid="{00000000-0004-0000-0200-000000000000}"/>
  </hyperlinks>
  <pageMargins left="0.7" right="0.7" top="0.75" bottom="0.75" header="0.3" footer="0.3"/>
  <pageSetup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 1</vt:lpstr>
      <vt:lpstr>Table 1 (3)</vt:lpstr>
      <vt:lpstr>Table 1 (2)</vt:lpstr>
      <vt:lpstr>'Table 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 Invoice</dc:title>
  <dc:creator>ADMIN</dc:creator>
  <cp:lastModifiedBy>Biome Industria PVT LTD</cp:lastModifiedBy>
  <cp:lastPrinted>2026-07-03T05:19:49Z</cp:lastPrinted>
  <dcterms:created xsi:type="dcterms:W3CDTF">2024-12-23T10:38:38Z</dcterms:created>
  <dcterms:modified xsi:type="dcterms:W3CDTF">2026-08-05T19:40:58Z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2024-12-21T00:00:00Z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2024-12-23T00:00:00Z</vt:filetime>
  </property>
  <property fmtid="{D5CDD505-2E9C-101B-9397-08002B2CF9AE}" pid="5" name="Producer">
    <vt:lpwstr>Microsoft® Excel® 2013</vt:lpwstr>
  </property>
</Properties>
</file>